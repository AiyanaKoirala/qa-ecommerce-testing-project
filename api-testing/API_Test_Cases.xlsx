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_Test_Cases" sheetId="1" state="visible" r:id="rId3"/>
    <sheet name="Summary" sheetId="2" state="visible" r:id="rId4"/>
  </sheets>
  <definedNames>
    <definedName function="false" hidden="true" localSheetId="0" name="_xlnm._FilterDatabase" vbProcedure="false">API_Test_Cases!$A$1:$P$46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<sst xmlns="http://schemas.openxmlformats.org/spreadsheetml/2006/main" count="576" uniqueCount="275">
  <si>
    <t xml:space="preserve">Test Case ID</t>
  </si>
  <si>
    <t xml:space="preserve">Scenario ID</t>
  </si>
  <si>
    <t xml:space="preserve">Endpoint Group</t>
  </si>
  <si>
    <t xml:space="preserve">Category</t>
  </si>
  <si>
    <t xml:space="preserve">Method</t>
  </si>
  <si>
    <t xml:space="preserve">Endpoint</t>
  </si>
  <si>
    <t xml:space="preserve">Test Case Title</t>
  </si>
  <si>
    <t xml:space="preserve">Related Req ID</t>
  </si>
  <si>
    <t xml:space="preserve">Request Data / Params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</si>
  <si>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</si>
  <si>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</si>
  <si>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</si>
  <si>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</si>
  <si>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Executed By</t>
  </si>
  <si>
    <t xml:space="preserve">Date</t>
  </si>
  <si>
    <t xml:space="preserve">Defect ID / Remarks</t>
  </si>
  <si>
    <t xml:space="preserve">TC-API-001</t>
  </si>
  <si>
    <t xml:space="preserve">TS-API-001</t>
  </si>
  <si>
    <t xml:space="preserve">Product</t>
  </si>
  <si>
    <t xml:space="preserve">Positive</t>
  </si>
  <si>
    <t xml:space="preserve">GET</t>
  </si>
  <si>
    <t xml:space="preserve">/products</t>
  </si>
  <si>
    <t xml:space="preserve">Get all products returns 200 with non-empty array</t>
  </si>
  <si>
    <t xml:space="preserve">FR-30</t>
  </si>
  <si>
    <t xml:space="preserve">No parameters</t>
  </si>
  <si>
    <t xml:space="preserve">Status 200; response body is a non-empty JSON array of product objects</t>
  </si>
  <si>
    <t xml:space="preserve">Not Executed</t>
  </si>
  <si>
    <t xml:space="preserve">High</t>
  </si>
  <si>
    <t xml:space="preserve">TC-API-002</t>
  </si>
  <si>
    <t xml:space="preserve">TS-API-002</t>
  </si>
  <si>
    <t xml:space="preserve">/products/{id}</t>
  </si>
  <si>
    <t xml:space="preserve">Get single product by valid ID returns correct fields</t>
  </si>
  <si>
    <t xml:space="preserve">FR-31</t>
  </si>
  <si>
    <t xml:space="preserve">id = 1</t>
  </si>
  <si>
    <t xml:space="preserve">Status 200; response contains matching id, title, price, category, description fields</t>
  </si>
  <si>
    <t xml:space="preserve">TC-API-003</t>
  </si>
  <si>
    <t xml:space="preserve">TS-API-003</t>
  </si>
  <si>
    <t xml:space="preserve">/products/category/{name}</t>
  </si>
  <si>
    <t xml:space="preserve">Get products filtered by valid category</t>
  </si>
  <si>
    <t xml:space="preserve">FR-33</t>
  </si>
  <si>
    <t xml:space="preserve">category = electronics</t>
  </si>
  <si>
    <t xml:space="preserve">Status 200; all returned products have category = 'electronics'</t>
  </si>
  <si>
    <t xml:space="preserve">Medium</t>
  </si>
  <si>
    <t xml:space="preserve">TC-API-004</t>
  </si>
  <si>
    <t xml:space="preserve">TS-API-004</t>
  </si>
  <si>
    <t xml:space="preserve">Total product count matches known catalog size</t>
  </si>
  <si>
    <t xml:space="preserve">Status 200; array length matches the expected total number of products in the store (20)</t>
  </si>
  <si>
    <t xml:space="preserve">TC-API-005</t>
  </si>
  <si>
    <t xml:space="preserve">TS-API-005</t>
  </si>
  <si>
    <t xml:space="preserve">/products?sort=desc</t>
  </si>
  <si>
    <t xml:space="preserve">Products returned in descending order when sort param used</t>
  </si>
  <si>
    <t xml:space="preserve">Query param: sort=desc</t>
  </si>
  <si>
    <t xml:space="preserve">Status 200; product IDs are returned in descending order</t>
  </si>
  <si>
    <t xml:space="preserve">Low</t>
  </si>
  <si>
    <t xml:space="preserve">TC-API-006</t>
  </si>
  <si>
    <t xml:space="preserve">TS-API-006</t>
  </si>
  <si>
    <t xml:space="preserve">/products?limit=5</t>
  </si>
  <si>
    <t xml:space="preserve">Limit query param returns correct number of products</t>
  </si>
  <si>
    <t xml:space="preserve">Query param: limit=5</t>
  </si>
  <si>
    <t xml:space="preserve">Status 200; response array contains exactly 5 product objects</t>
  </si>
  <si>
    <t xml:space="preserve">TC-API-007</t>
  </si>
  <si>
    <t xml:space="preserve">TS-API-007</t>
  </si>
  <si>
    <t xml:space="preserve">Negative</t>
  </si>
  <si>
    <t xml:space="preserve">Non-existent product ID returns not-found</t>
  </si>
  <si>
    <t xml:space="preserve">FR-32</t>
  </si>
  <si>
    <t xml:space="preserve">id = 99999</t>
  </si>
  <si>
    <t xml:space="preserve">Response indicates not found (404, or empty/null body per API's documented behavior); no product data returned</t>
  </si>
  <si>
    <t xml:space="preserve">TC-API-008</t>
  </si>
  <si>
    <t xml:space="preserve">TS-API-008</t>
  </si>
  <si>
    <t xml:space="preserve">Non-numeric product ID does not crash the API</t>
  </si>
  <si>
    <t xml:space="preserve">id = abc</t>
  </si>
  <si>
    <t xml:space="preserve">API returns a graceful client error (4xx), not a 500 server crash</t>
  </si>
  <si>
    <t xml:space="preserve">TC-API-009</t>
  </si>
  <si>
    <t xml:space="preserve">TS-API-009</t>
  </si>
  <si>
    <t xml:space="preserve">Unknown category returns empty array, not an error</t>
  </si>
  <si>
    <t xml:space="preserve">category = nonexistentcategory123</t>
  </si>
  <si>
    <t xml:space="preserve">Status 200; response body is an empty array, not a 404 or 500 error</t>
  </si>
  <si>
    <t xml:space="preserve">TC-API-010</t>
  </si>
  <si>
    <t xml:space="preserve">TS-API-010</t>
  </si>
  <si>
    <t xml:space="preserve">Product response does not expose internal/sensitive fields</t>
  </si>
  <si>
    <t xml:space="preserve">Response contains only documented public fields; no internal DB keys, timestamps, or admin-only fields are exposed</t>
  </si>
  <si>
    <t xml:space="preserve">TC-API-011</t>
  </si>
  <si>
    <t xml:space="preserve">TS-API-011</t>
  </si>
  <si>
    <t xml:space="preserve">/products?invalidParam=xyz</t>
  </si>
  <si>
    <t xml:space="preserve">Invalid/unsupported query parameter does not break the response</t>
  </si>
  <si>
    <t xml:space="preserve">Query param: invalidParam=xyz</t>
  </si>
  <si>
    <t xml:space="preserve">API either ignores the unknown parameter or returns a clear error; response is not corrupted or a 500 error</t>
  </si>
  <si>
    <t xml:space="preserve">TC-API-012</t>
  </si>
  <si>
    <t xml:space="preserve">TS-API-012</t>
  </si>
  <si>
    <t xml:space="preserve">Edge Case</t>
  </si>
  <si>
    <t xml:space="preserve">/products/0</t>
  </si>
  <si>
    <t xml:space="preserve">Boundary product ID of 0 handled correctly</t>
  </si>
  <si>
    <t xml:space="preserve">id = 0</t>
  </si>
  <si>
    <t xml:space="preserve">API returns a graceful not-found or validation response, not a crash</t>
  </si>
  <si>
    <t xml:space="preserve">TC-API-013</t>
  </si>
  <si>
    <t xml:space="preserve">TS-API-013</t>
  </si>
  <si>
    <t xml:space="preserve">/products/-1</t>
  </si>
  <si>
    <t xml:space="preserve">Negative product ID handled gracefully</t>
  </si>
  <si>
    <t xml:space="preserve">id = -1</t>
  </si>
  <si>
    <t xml:space="preserve">API returns a graceful not-found or validation error, not a 500 crash</t>
  </si>
  <si>
    <t xml:space="preserve">TC-API-014</t>
  </si>
  <si>
    <t xml:space="preserve">TS-API-014</t>
  </si>
  <si>
    <t xml:space="preserve">Response time for product list stays within acceptable threshold</t>
  </si>
  <si>
    <t xml:space="preserve">NFR-04</t>
  </si>
  <si>
    <t xml:space="preserve">No parameters; measure response time</t>
  </si>
  <si>
    <t xml:space="preserve">Response returns within 1 second under normal load</t>
  </si>
  <si>
    <t xml:space="preserve">TC-API-015</t>
  </si>
  <si>
    <t xml:space="preserve">TS-API-015</t>
  </si>
  <si>
    <t xml:space="preserve">Category name with special/encoded characters handled correctly</t>
  </si>
  <si>
    <t xml:space="preserve">category = men's%20clothing (URL-encoded)</t>
  </si>
  <si>
    <t xml:space="preserve">API correctly decodes and processes the category name, or returns a clear validation error; no crash</t>
  </si>
  <si>
    <t xml:space="preserve">TC-API-016</t>
  </si>
  <si>
    <t xml:space="preserve">TS-API-016</t>
  </si>
  <si>
    <t xml:space="preserve">/products?limit=10000</t>
  </si>
  <si>
    <t xml:space="preserve">Very large limit value does not crash or hang the API</t>
  </si>
  <si>
    <t xml:space="preserve">Query param: limit=10000</t>
  </si>
  <si>
    <t xml:space="preserve">API returns all available products (capped at actual catalog size) without timing out or crashing</t>
  </si>
  <si>
    <t xml:space="preserve">TC-API-017</t>
  </si>
  <si>
    <t xml:space="preserve">TS-API-017</t>
  </si>
  <si>
    <t xml:space="preserve">Cart</t>
  </si>
  <si>
    <t xml:space="preserve">POST</t>
  </si>
  <si>
    <t xml:space="preserve">/carts</t>
  </si>
  <si>
    <t xml:space="preserve">Create new cart with valid payload returns cart ID</t>
  </si>
  <si>
    <t xml:space="preserve">FR-34</t>
  </si>
  <si>
    <t xml:space="preserve">Body: {"userId":1,"date":"2026-07-18","products":[{"productId":1,"quantity":2}]}</t>
  </si>
  <si>
    <t xml:space="preserve">Status 200/201; response returns a cart object including a generated cart id</t>
  </si>
  <si>
    <t xml:space="preserve">TC-API-018</t>
  </si>
  <si>
    <t xml:space="preserve">TS-API-018</t>
  </si>
  <si>
    <t xml:space="preserve">/carts/{id}</t>
  </si>
  <si>
    <t xml:space="preserve">Retrieve existing cart by valid ID</t>
  </si>
  <si>
    <t xml:space="preserve">FR-35</t>
  </si>
  <si>
    <t xml:space="preserve">Status 200; response returns the matching cart with correct userId, date, and product list</t>
  </si>
  <si>
    <t xml:space="preserve">TC-API-019</t>
  </si>
  <si>
    <t xml:space="preserve">TS-API-019</t>
  </si>
  <si>
    <t xml:space="preserve">PUT</t>
  </si>
  <si>
    <t xml:space="preserve">Update existing cart with valid payload</t>
  </si>
  <si>
    <t xml:space="preserve">FR-36</t>
  </si>
  <si>
    <t xml:space="preserve">id = 1; Body: {"userId":1,"date":"2026-07-18","products":[{"productId":1,"quantity":4}]}</t>
  </si>
  <si>
    <t xml:space="preserve">Status 200; response reflects the updated quantity (4) for the specified product</t>
  </si>
  <si>
    <t xml:space="preserve">TC-API-020</t>
  </si>
  <si>
    <t xml:space="preserve">TS-API-020</t>
  </si>
  <si>
    <t xml:space="preserve">DELETE</t>
  </si>
  <si>
    <t xml:space="preserve">Delete existing cart by valid ID</t>
  </si>
  <si>
    <t xml:space="preserve">FR-37</t>
  </si>
  <si>
    <t xml:space="preserve">Status 200; response confirms deletion of the cart</t>
  </si>
  <si>
    <t xml:space="preserve">TC-API-021</t>
  </si>
  <si>
    <t xml:space="preserve">TS-API-021</t>
  </si>
  <si>
    <t xml:space="preserve">/carts/user/{userId}</t>
  </si>
  <si>
    <t xml:space="preserve">Retrieve all carts for a given user</t>
  </si>
  <si>
    <t xml:space="preserve">userId = 1</t>
  </si>
  <si>
    <t xml:space="preserve">Status 200; response returns an array of all carts belonging to that user</t>
  </si>
  <si>
    <t xml:space="preserve">TC-API-022</t>
  </si>
  <si>
    <t xml:space="preserve">TS-API-022</t>
  </si>
  <si>
    <t xml:space="preserve">Created cart response has correct data structure</t>
  </si>
  <si>
    <t xml:space="preserve">Body: {"userId":2,"date":"2026-07-18","products":[{"productId":3,"quantity":1}]}</t>
  </si>
  <si>
    <t xml:space="preserve">Response includes userId, date, and products array fields matching the request payload</t>
  </si>
  <si>
    <t xml:space="preserve">TC-API-023</t>
  </si>
  <si>
    <t xml:space="preserve">TS-API-023</t>
  </si>
  <si>
    <t xml:space="preserve">Missing required field (userId) returns an error</t>
  </si>
  <si>
    <t xml:space="preserve">Body: {"date":"2026-07-18","products":[{"productId":1,"quantity":1}]}</t>
  </si>
  <si>
    <t xml:space="preserve">API returns an appropriate error/validation response; cart is not created without a userId</t>
  </si>
  <si>
    <t xml:space="preserve">TC-API-024</t>
  </si>
  <si>
    <t xml:space="preserve">TS-API-024</t>
  </si>
  <si>
    <t xml:space="preserve">Non-existent cart ID returns not-found</t>
  </si>
  <si>
    <t xml:space="preserve">API returns a not-found/error response; no cart data is returned</t>
  </si>
  <si>
    <t xml:space="preserve">TC-API-025</t>
  </si>
  <si>
    <t xml:space="preserve">TS-API-025</t>
  </si>
  <si>
    <t xml:space="preserve">Update on non-existent cart ID returns an error</t>
  </si>
  <si>
    <t xml:space="preserve">id = 99999; Body: {"userId":1,"date":"2026-07-18","products":[{"productId":1,"quantity":2}]}</t>
  </si>
  <si>
    <t xml:space="preserve">API returns a not-found/error response; no cart is created or updated</t>
  </si>
  <si>
    <t xml:space="preserve">TC-API-026</t>
  </si>
  <si>
    <t xml:space="preserve">TS-API-026</t>
  </si>
  <si>
    <t xml:space="preserve">Deleting an already-deleted cart ID does not silently succeed incorrectly</t>
  </si>
  <si>
    <t xml:space="preserve">id = 99999 (already deleted or never existed)</t>
  </si>
  <si>
    <t xml:space="preserve">API returns a clear not-found/error response rather than a false success confirmation</t>
  </si>
  <si>
    <t xml:space="preserve">TC-API-027</t>
  </si>
  <si>
    <t xml:space="preserve">TS-API-027</t>
  </si>
  <si>
    <t xml:space="preserve">Invalid product list format is rejected</t>
  </si>
  <si>
    <t xml:space="preserve">Body: {"userId":1,"date":"2026-07-18","products":"not-an-array"}</t>
  </si>
  <si>
    <t xml:space="preserve">API returns a validation error (4xx); cart is not created with malformed data</t>
  </si>
  <si>
    <t xml:space="preserve">TC-API-028</t>
  </si>
  <si>
    <t xml:space="preserve">TS-API-028</t>
  </si>
  <si>
    <t xml:space="preserve">Empty request body does not create a cart</t>
  </si>
  <si>
    <t xml:space="preserve">Body: {}</t>
  </si>
  <si>
    <t xml:space="preserve">API returns a validation error; no cart object is created from an empty payload</t>
  </si>
  <si>
    <t xml:space="preserve">TC-API-029</t>
  </si>
  <si>
    <t xml:space="preserve">TS-API-029</t>
  </si>
  <si>
    <t xml:space="preserve">Cart creation with empty products array is handled</t>
  </si>
  <si>
    <t xml:space="preserve">Body: {"userId":1,"date":"2026-07-18","products":[]}</t>
  </si>
  <si>
    <t xml:space="preserve">API either creates an empty cart successfully or returns a clear validation message; behavior is consistent, not a crash</t>
  </si>
  <si>
    <t xml:space="preserve">TC-API-030</t>
  </si>
  <si>
    <t xml:space="preserve">TS-API-030</t>
  </si>
  <si>
    <t xml:space="preserve">Cart creation with a very large number of line items is handled</t>
  </si>
  <si>
    <t xml:space="preserve">Body: {"userId":1,"date":"2026-07-18","products":[100+ product entries]}</t>
  </si>
  <si>
    <t xml:space="preserve">API processes the large payload without timing out or truncating data unexpectedly</t>
  </si>
  <si>
    <t xml:space="preserve">TC-API-031</t>
  </si>
  <si>
    <t xml:space="preserve">TS-API-031</t>
  </si>
  <si>
    <t xml:space="preserve">Concurrent updates to the same cart do not corrupt data</t>
  </si>
  <si>
    <t xml:space="preserve">id = 1; two PUT requests sent in quick succession with different payloads</t>
  </si>
  <si>
    <t xml:space="preserve">Final cart state reflects one of the two updates consistently (documented last-write-wins), not a corrupted merge</t>
  </si>
  <si>
    <t xml:space="preserve">TC-API-032</t>
  </si>
  <si>
    <t xml:space="preserve">TS-API-032</t>
  </si>
  <si>
    <t xml:space="preserve">Setting product quantity to 0 is handled consistently</t>
  </si>
  <si>
    <t xml:space="preserve">id = 1; Body: {"userId":1,"date":"2026-07-18","products":[{"productId":1,"quantity":0}]}</t>
  </si>
  <si>
    <t xml:space="preserve">API consistently either removes the item or keeps it at quantity 0; behavior matches documented expectation</t>
  </si>
  <si>
    <t xml:space="preserve">TC-API-033</t>
  </si>
  <si>
    <t xml:space="preserve">TS-API-033</t>
  </si>
  <si>
    <t xml:space="preserve">Non-numeric cart ID handled gracefully</t>
  </si>
  <si>
    <t xml:space="preserve">TC-API-034</t>
  </si>
  <si>
    <t xml:space="preserve">TS-API-034</t>
  </si>
  <si>
    <t xml:space="preserve">Auth</t>
  </si>
  <si>
    <t xml:space="preserve">/auth/login</t>
  </si>
  <si>
    <t xml:space="preserve">Valid credentials return a token</t>
  </si>
  <si>
    <t xml:space="preserve">FR-38</t>
  </si>
  <si>
    <t xml:space="preserve">Body: {"username":"mor_2314","password":"83r5^_"}</t>
  </si>
  <si>
    <t xml:space="preserve">Status 200; response body contains a non-empty 'token' field</t>
  </si>
  <si>
    <t xml:space="preserve">TC-API-035</t>
  </si>
  <si>
    <t xml:space="preserve">TS-API-035</t>
  </si>
  <si>
    <t xml:space="preserve">/users/{id}</t>
  </si>
  <si>
    <t xml:space="preserve">Valid user ID returns complete profile fields</t>
  </si>
  <si>
    <t xml:space="preserve">FR-40</t>
  </si>
  <si>
    <t xml:space="preserve">Status 200; response includes matching name, email, and address fields for the user</t>
  </si>
  <si>
    <t xml:space="preserve">TC-API-036</t>
  </si>
  <si>
    <t xml:space="preserve">TS-API-036</t>
  </si>
  <si>
    <t xml:space="preserve">Returned token matches expected format</t>
  </si>
  <si>
    <t xml:space="preserve">Token returned is a well-formed string matching the API's documented token format (e.g. JWT structure)</t>
  </si>
  <si>
    <t xml:space="preserve">TC-API-037</t>
  </si>
  <si>
    <t xml:space="preserve">TS-API-037</t>
  </si>
  <si>
    <t xml:space="preserve">Incorrect password for valid username is rejected</t>
  </si>
  <si>
    <t xml:space="preserve">FR-39</t>
  </si>
  <si>
    <t xml:space="preserve">Body: {"username":"mor_2314","password":"wrongpass"}</t>
  </si>
  <si>
    <t xml:space="preserve">Status 401 (or documented error code); no token returned</t>
  </si>
  <si>
    <t xml:space="preserve">TC-API-038</t>
  </si>
  <si>
    <t xml:space="preserve">TS-API-038</t>
  </si>
  <si>
    <t xml:space="preserve">Non-existent username is rejected</t>
  </si>
  <si>
    <t xml:space="preserve">Body: {"username":"doesnotexist","password":"anything"}</t>
  </si>
  <si>
    <t xml:space="preserve">TC-API-039</t>
  </si>
  <si>
    <t xml:space="preserve">TS-API-039</t>
  </si>
  <si>
    <t xml:space="preserve">Non-existent user ID returns not-found</t>
  </si>
  <si>
    <t xml:space="preserve">API returns a not-found/error response; no user data returned</t>
  </si>
  <si>
    <t xml:space="preserve">TC-API-040</t>
  </si>
  <si>
    <t xml:space="preserve">TS-API-040</t>
  </si>
  <si>
    <t xml:space="preserve">User response does not expose password field</t>
  </si>
  <si>
    <t xml:space="preserve">Response does not include the raw password field in plaintext, or it is clearly masked</t>
  </si>
  <si>
    <t xml:space="preserve">TC-API-041</t>
  </si>
  <si>
    <t xml:space="preserve">TS-API-041</t>
  </si>
  <si>
    <t xml:space="preserve">Empty username or password is rejected</t>
  </si>
  <si>
    <t xml:space="preserve">Body: {"username":"","password":""}</t>
  </si>
  <si>
    <t xml:space="preserve">API returns a validation/error response; no token is returned for empty credentials</t>
  </si>
  <si>
    <t xml:space="preserve">TC-API-042</t>
  </si>
  <si>
    <t xml:space="preserve">TS-API-042</t>
  </si>
  <si>
    <t xml:space="preserve">Non-numeric user ID handled gracefully</t>
  </si>
  <si>
    <t xml:space="preserve">TC-API-043</t>
  </si>
  <si>
    <t xml:space="preserve">TS-API-043</t>
  </si>
  <si>
    <t xml:space="preserve">Excessively long username/password does not crash the API</t>
  </si>
  <si>
    <t xml:space="preserve">Body: {"username":"a"x500,"password":"b"x500}</t>
  </si>
  <si>
    <t xml:space="preserve">API returns a graceful error response; no crash or hang</t>
  </si>
  <si>
    <t xml:space="preserve">TC-API-044</t>
  </si>
  <si>
    <t xml:space="preserve">TS-API-044</t>
  </si>
  <si>
    <t xml:space="preserve">Login response time stays within acceptable threshold</t>
  </si>
  <si>
    <t xml:space="preserve">Body: {"username":"mor_2314","password":"83r5^_"}; measure response time</t>
  </si>
  <si>
    <t xml:space="preserve">TC-API-045</t>
  </si>
  <si>
    <t xml:space="preserve">TS-API-045</t>
  </si>
  <si>
    <t xml:space="preserve">Injection attempt in login payload is handled safely</t>
  </si>
  <si>
    <t xml:space="preserve">FR-38 / NFR-03</t>
  </si>
  <si>
    <t xml:space="preserve">Body: {"username":"' OR '1'='1","password":"anything"}</t>
  </si>
  <si>
    <t xml:space="preserve">API safely rejects the request as invalid credentials; no injection-based bypass occurs, no server error</t>
  </si>
  <si>
    <t xml:space="preserve">Backend API Test Case Summary</t>
  </si>
  <si>
    <t xml:space="preserve">Count</t>
  </si>
  <si>
    <t xml:space="preserve">Total</t>
  </si>
  <si>
    <t xml:space="preserve">Breakdown by Endpoint Group</t>
  </si>
  <si>
    <t xml:space="preserve">Execution Status</t>
  </si>
  <si>
    <t xml:space="preserve">Pass</t>
  </si>
  <si>
    <t xml:space="preserve">Fail</t>
  </si>
  <si>
    <t xml:space="preserve">Blocked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</si>
</sst>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EC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CE4EC"/>
      </patternFill>
    </fill>
    <fill>
      <patternFill patternType="solid">
        <fgColor rgb="FFE2D9F3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D9F3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EC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1"/>
    <col collapsed="false" customWidth="true" hidden="false" outlineLevel="0" max="5" min="5" style="0" width="9"/>
    <col collapsed="false" customWidth="true" hidden="false" outlineLevel="0" max="6" min="6" style="0" width="22"/>
    <col collapsed="false" customWidth="true" hidden="false" outlineLevel="0" max="7" min="7" style="0" width="34"/>
    <col collapsed="false" customWidth="true" hidden="false" outlineLevel="0" max="8" min="8" style="0" width="14"/>
    <col collapsed="false" customWidth="true" hidden="false" outlineLevel="0" max="9" min="9" style="0" width="40"/>
    <col collapsed="false" customWidth="true" hidden="false" outlineLevel="0" max="10" min="10" style="0" width="44"/>
    <col collapsed="false" customWidth="true" hidden="false" outlineLevel="0" max="11" min="11" style="0" width="20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3.85" hidden="false" customHeight="false" outlineLevel="0" collapsed="false">
      <c r="A2" s="2" t="s">
        <v>16</v>
      </c>
      <c r="B2" s="2" t="s">
        <v>17</v>
      </c>
      <c r="C2" s="3" t="s">
        <v>18</v>
      </c>
      <c r="D2" s="4" t="s">
        <v>19</v>
      </c>
      <c r="E2" s="2" t="s">
        <v>20</v>
      </c>
      <c r="F2" s="5" t="s">
        <v>21</v>
      </c>
      <c r="G2" s="5" t="s">
        <v>22</v>
      </c>
      <c r="H2" s="2" t="s">
        <v>23</v>
      </c>
      <c r="I2" s="5" t="s">
        <v>24</v>
      </c>
      <c r="J2" s="5" t="s">
        <v>25</v>
      </c>
      <c r="K2" s="5"/>
      <c r="L2" s="2" t="s">
        <v>26</v>
      </c>
      <c r="M2" s="2" t="s">
        <v>27</v>
      </c>
      <c r="N2" s="5"/>
      <c r="O2" s="5"/>
      <c r="P2" s="5"/>
    </row>
    <row r="3" customFormat="false" ht="23.85" hidden="false" customHeight="false" outlineLevel="0" collapsed="false">
      <c r="A3" s="2" t="s">
        <v>28</v>
      </c>
      <c r="B3" s="2" t="s">
        <v>29</v>
      </c>
      <c r="C3" s="3" t="s">
        <v>18</v>
      </c>
      <c r="D3" s="4" t="s">
        <v>19</v>
      </c>
      <c r="E3" s="2" t="s">
        <v>20</v>
      </c>
      <c r="F3" s="5" t="s">
        <v>30</v>
      </c>
      <c r="G3" s="5" t="s">
        <v>31</v>
      </c>
      <c r="H3" s="2" t="s">
        <v>32</v>
      </c>
      <c r="I3" s="5" t="s">
        <v>33</v>
      </c>
      <c r="J3" s="5" t="s">
        <v>34</v>
      </c>
      <c r="K3" s="5"/>
      <c r="L3" s="2" t="s">
        <v>26</v>
      </c>
      <c r="M3" s="2" t="s">
        <v>27</v>
      </c>
      <c r="N3" s="5"/>
      <c r="O3" s="5"/>
      <c r="P3" s="5"/>
    </row>
    <row r="4" customFormat="false" ht="23.85" hidden="false" customHeight="false" outlineLevel="0" collapsed="false">
      <c r="A4" s="2" t="s">
        <v>35</v>
      </c>
      <c r="B4" s="2" t="s">
        <v>36</v>
      </c>
      <c r="C4" s="3" t="s">
        <v>18</v>
      </c>
      <c r="D4" s="4" t="s">
        <v>19</v>
      </c>
      <c r="E4" s="2" t="s">
        <v>20</v>
      </c>
      <c r="F4" s="5" t="s">
        <v>37</v>
      </c>
      <c r="G4" s="5" t="s">
        <v>38</v>
      </c>
      <c r="H4" s="2" t="s">
        <v>39</v>
      </c>
      <c r="I4" s="5" t="s">
        <v>40</v>
      </c>
      <c r="J4" s="5" t="s">
        <v>41</v>
      </c>
      <c r="K4" s="5"/>
      <c r="L4" s="2" t="s">
        <v>26</v>
      </c>
      <c r="M4" s="2" t="s">
        <v>42</v>
      </c>
      <c r="N4" s="5"/>
      <c r="O4" s="5"/>
      <c r="P4" s="5"/>
    </row>
    <row r="5" customFormat="false" ht="23.85" hidden="false" customHeight="false" outlineLevel="0" collapsed="false">
      <c r="A5" s="2" t="s">
        <v>43</v>
      </c>
      <c r="B5" s="2" t="s">
        <v>44</v>
      </c>
      <c r="C5" s="3" t="s">
        <v>18</v>
      </c>
      <c r="D5" s="4" t="s">
        <v>19</v>
      </c>
      <c r="E5" s="2" t="s">
        <v>20</v>
      </c>
      <c r="F5" s="5" t="s">
        <v>21</v>
      </c>
      <c r="G5" s="5" t="s">
        <v>45</v>
      </c>
      <c r="H5" s="2" t="s">
        <v>23</v>
      </c>
      <c r="I5" s="5" t="s">
        <v>24</v>
      </c>
      <c r="J5" s="5" t="s">
        <v>46</v>
      </c>
      <c r="K5" s="5"/>
      <c r="L5" s="2" t="s">
        <v>26</v>
      </c>
      <c r="M5" s="2" t="s">
        <v>42</v>
      </c>
      <c r="N5" s="5"/>
      <c r="O5" s="5"/>
      <c r="P5" s="5"/>
    </row>
    <row r="6" customFormat="false" ht="23.85" hidden="false" customHeight="false" outlineLevel="0" collapsed="false">
      <c r="A6" s="2" t="s">
        <v>47</v>
      </c>
      <c r="B6" s="2" t="s">
        <v>48</v>
      </c>
      <c r="C6" s="3" t="s">
        <v>18</v>
      </c>
      <c r="D6" s="4" t="s">
        <v>19</v>
      </c>
      <c r="E6" s="2" t="s">
        <v>20</v>
      </c>
      <c r="F6" s="5" t="s">
        <v>49</v>
      </c>
      <c r="G6" s="5" t="s">
        <v>50</v>
      </c>
      <c r="H6" s="2" t="s">
        <v>23</v>
      </c>
      <c r="I6" s="5" t="s">
        <v>51</v>
      </c>
      <c r="J6" s="5" t="s">
        <v>52</v>
      </c>
      <c r="K6" s="5"/>
      <c r="L6" s="2" t="s">
        <v>26</v>
      </c>
      <c r="M6" s="2" t="s">
        <v>53</v>
      </c>
      <c r="N6" s="5"/>
      <c r="O6" s="5"/>
      <c r="P6" s="5"/>
    </row>
    <row r="7" customFormat="false" ht="23.85" hidden="false" customHeight="false" outlineLevel="0" collapsed="false">
      <c r="A7" s="2" t="s">
        <v>54</v>
      </c>
      <c r="B7" s="2" t="s">
        <v>55</v>
      </c>
      <c r="C7" s="3" t="s">
        <v>18</v>
      </c>
      <c r="D7" s="4" t="s">
        <v>19</v>
      </c>
      <c r="E7" s="2" t="s">
        <v>20</v>
      </c>
      <c r="F7" s="5" t="s">
        <v>56</v>
      </c>
      <c r="G7" s="5" t="s">
        <v>57</v>
      </c>
      <c r="H7" s="2" t="s">
        <v>23</v>
      </c>
      <c r="I7" s="5" t="s">
        <v>58</v>
      </c>
      <c r="J7" s="5" t="s">
        <v>59</v>
      </c>
      <c r="K7" s="5"/>
      <c r="L7" s="2" t="s">
        <v>26</v>
      </c>
      <c r="M7" s="2" t="s">
        <v>42</v>
      </c>
      <c r="N7" s="5"/>
      <c r="O7" s="5"/>
      <c r="P7" s="5"/>
    </row>
    <row r="8" customFormat="false" ht="35.05" hidden="false" customHeight="false" outlineLevel="0" collapsed="false">
      <c r="A8" s="2" t="s">
        <v>60</v>
      </c>
      <c r="B8" s="2" t="s">
        <v>61</v>
      </c>
      <c r="C8" s="3" t="s">
        <v>18</v>
      </c>
      <c r="D8" s="6" t="s">
        <v>62</v>
      </c>
      <c r="E8" s="2" t="s">
        <v>20</v>
      </c>
      <c r="F8" s="5" t="s">
        <v>30</v>
      </c>
      <c r="G8" s="5" t="s">
        <v>63</v>
      </c>
      <c r="H8" s="2" t="s">
        <v>64</v>
      </c>
      <c r="I8" s="5" t="s">
        <v>65</v>
      </c>
      <c r="J8" s="5" t="s">
        <v>66</v>
      </c>
      <c r="K8" s="5"/>
      <c r="L8" s="2" t="s">
        <v>26</v>
      </c>
      <c r="M8" s="2" t="s">
        <v>42</v>
      </c>
      <c r="N8" s="5"/>
      <c r="O8" s="5"/>
      <c r="P8" s="5"/>
    </row>
    <row r="9" customFormat="false" ht="23.85" hidden="false" customHeight="false" outlineLevel="0" collapsed="false">
      <c r="A9" s="2" t="s">
        <v>67</v>
      </c>
      <c r="B9" s="2" t="s">
        <v>68</v>
      </c>
      <c r="C9" s="3" t="s">
        <v>18</v>
      </c>
      <c r="D9" s="6" t="s">
        <v>62</v>
      </c>
      <c r="E9" s="2" t="s">
        <v>20</v>
      </c>
      <c r="F9" s="5" t="s">
        <v>30</v>
      </c>
      <c r="G9" s="5" t="s">
        <v>69</v>
      </c>
      <c r="H9" s="2" t="s">
        <v>64</v>
      </c>
      <c r="I9" s="5" t="s">
        <v>70</v>
      </c>
      <c r="J9" s="5" t="s">
        <v>71</v>
      </c>
      <c r="K9" s="5"/>
      <c r="L9" s="2" t="s">
        <v>26</v>
      </c>
      <c r="M9" s="2" t="s">
        <v>42</v>
      </c>
      <c r="N9" s="5"/>
      <c r="O9" s="5"/>
      <c r="P9" s="5"/>
    </row>
    <row r="10" customFormat="false" ht="23.85" hidden="false" customHeight="false" outlineLevel="0" collapsed="false">
      <c r="A10" s="2" t="s">
        <v>72</v>
      </c>
      <c r="B10" s="2" t="s">
        <v>73</v>
      </c>
      <c r="C10" s="3" t="s">
        <v>18</v>
      </c>
      <c r="D10" s="6" t="s">
        <v>62</v>
      </c>
      <c r="E10" s="2" t="s">
        <v>20</v>
      </c>
      <c r="F10" s="5" t="s">
        <v>37</v>
      </c>
      <c r="G10" s="5" t="s">
        <v>74</v>
      </c>
      <c r="H10" s="2" t="s">
        <v>39</v>
      </c>
      <c r="I10" s="5" t="s">
        <v>75</v>
      </c>
      <c r="J10" s="5" t="s">
        <v>76</v>
      </c>
      <c r="K10" s="5"/>
      <c r="L10" s="2" t="s">
        <v>26</v>
      </c>
      <c r="M10" s="2" t="s">
        <v>42</v>
      </c>
      <c r="N10" s="5"/>
      <c r="O10" s="5"/>
      <c r="P10" s="5"/>
    </row>
    <row r="11" customFormat="false" ht="35.05" hidden="false" customHeight="false" outlineLevel="0" collapsed="false">
      <c r="A11" s="2" t="s">
        <v>77</v>
      </c>
      <c r="B11" s="2" t="s">
        <v>78</v>
      </c>
      <c r="C11" s="3" t="s">
        <v>18</v>
      </c>
      <c r="D11" s="6" t="s">
        <v>62</v>
      </c>
      <c r="E11" s="2" t="s">
        <v>20</v>
      </c>
      <c r="F11" s="5" t="s">
        <v>30</v>
      </c>
      <c r="G11" s="5" t="s">
        <v>79</v>
      </c>
      <c r="H11" s="2" t="s">
        <v>32</v>
      </c>
      <c r="I11" s="5" t="s">
        <v>33</v>
      </c>
      <c r="J11" s="5" t="s">
        <v>80</v>
      </c>
      <c r="K11" s="5"/>
      <c r="L11" s="2" t="s">
        <v>26</v>
      </c>
      <c r="M11" s="2" t="s">
        <v>53</v>
      </c>
      <c r="N11" s="5"/>
      <c r="O11" s="5"/>
      <c r="P11" s="5"/>
    </row>
    <row r="12" customFormat="false" ht="23.85" hidden="false" customHeight="false" outlineLevel="0" collapsed="false">
      <c r="A12" s="2" t="s">
        <v>81</v>
      </c>
      <c r="B12" s="2" t="s">
        <v>82</v>
      </c>
      <c r="C12" s="3" t="s">
        <v>18</v>
      </c>
      <c r="D12" s="6" t="s">
        <v>62</v>
      </c>
      <c r="E12" s="2" t="s">
        <v>20</v>
      </c>
      <c r="F12" s="5" t="s">
        <v>83</v>
      </c>
      <c r="G12" s="5" t="s">
        <v>84</v>
      </c>
      <c r="H12" s="2" t="s">
        <v>23</v>
      </c>
      <c r="I12" s="5" t="s">
        <v>85</v>
      </c>
      <c r="J12" s="5" t="s">
        <v>86</v>
      </c>
      <c r="K12" s="5"/>
      <c r="L12" s="2" t="s">
        <v>26</v>
      </c>
      <c r="M12" s="2" t="s">
        <v>53</v>
      </c>
      <c r="N12" s="5"/>
      <c r="O12" s="5"/>
      <c r="P12" s="5"/>
    </row>
    <row r="13" customFormat="false" ht="23.85" hidden="false" customHeight="false" outlineLevel="0" collapsed="false">
      <c r="A13" s="2" t="s">
        <v>87</v>
      </c>
      <c r="B13" s="2" t="s">
        <v>88</v>
      </c>
      <c r="C13" s="3" t="s">
        <v>18</v>
      </c>
      <c r="D13" s="7" t="s">
        <v>89</v>
      </c>
      <c r="E13" s="2" t="s">
        <v>20</v>
      </c>
      <c r="F13" s="5" t="s">
        <v>90</v>
      </c>
      <c r="G13" s="5" t="s">
        <v>91</v>
      </c>
      <c r="H13" s="2" t="s">
        <v>64</v>
      </c>
      <c r="I13" s="5" t="s">
        <v>92</v>
      </c>
      <c r="J13" s="5" t="s">
        <v>93</v>
      </c>
      <c r="K13" s="5"/>
      <c r="L13" s="2" t="s">
        <v>26</v>
      </c>
      <c r="M13" s="2" t="s">
        <v>53</v>
      </c>
      <c r="N13" s="5"/>
      <c r="O13" s="5"/>
      <c r="P13" s="5"/>
    </row>
    <row r="14" customFormat="false" ht="23.85" hidden="false" customHeight="false" outlineLevel="0" collapsed="false">
      <c r="A14" s="2" t="s">
        <v>94</v>
      </c>
      <c r="B14" s="2" t="s">
        <v>95</v>
      </c>
      <c r="C14" s="3" t="s">
        <v>18</v>
      </c>
      <c r="D14" s="7" t="s">
        <v>89</v>
      </c>
      <c r="E14" s="2" t="s">
        <v>20</v>
      </c>
      <c r="F14" s="5" t="s">
        <v>96</v>
      </c>
      <c r="G14" s="5" t="s">
        <v>97</v>
      </c>
      <c r="H14" s="2" t="s">
        <v>64</v>
      </c>
      <c r="I14" s="5" t="s">
        <v>98</v>
      </c>
      <c r="J14" s="5" t="s">
        <v>99</v>
      </c>
      <c r="K14" s="5"/>
      <c r="L14" s="2" t="s">
        <v>26</v>
      </c>
      <c r="M14" s="2" t="s">
        <v>53</v>
      </c>
      <c r="N14" s="5"/>
      <c r="O14" s="5"/>
      <c r="P14" s="5"/>
    </row>
    <row r="15" customFormat="false" ht="23.85" hidden="false" customHeight="false" outlineLevel="0" collapsed="false">
      <c r="A15" s="2" t="s">
        <v>100</v>
      </c>
      <c r="B15" s="2" t="s">
        <v>101</v>
      </c>
      <c r="C15" s="3" t="s">
        <v>18</v>
      </c>
      <c r="D15" s="7" t="s">
        <v>89</v>
      </c>
      <c r="E15" s="2" t="s">
        <v>20</v>
      </c>
      <c r="F15" s="5" t="s">
        <v>21</v>
      </c>
      <c r="G15" s="5" t="s">
        <v>102</v>
      </c>
      <c r="H15" s="2" t="s">
        <v>103</v>
      </c>
      <c r="I15" s="5" t="s">
        <v>104</v>
      </c>
      <c r="J15" s="5" t="s">
        <v>105</v>
      </c>
      <c r="K15" s="5"/>
      <c r="L15" s="2" t="s">
        <v>26</v>
      </c>
      <c r="M15" s="2" t="s">
        <v>42</v>
      </c>
      <c r="N15" s="5"/>
      <c r="O15" s="5"/>
      <c r="P15" s="5"/>
    </row>
    <row r="16" customFormat="false" ht="23.85" hidden="false" customHeight="false" outlineLevel="0" collapsed="false">
      <c r="A16" s="2" t="s">
        <v>106</v>
      </c>
      <c r="B16" s="2" t="s">
        <v>107</v>
      </c>
      <c r="C16" s="3" t="s">
        <v>18</v>
      </c>
      <c r="D16" s="7" t="s">
        <v>89</v>
      </c>
      <c r="E16" s="2" t="s">
        <v>20</v>
      </c>
      <c r="F16" s="5" t="s">
        <v>37</v>
      </c>
      <c r="G16" s="5" t="s">
        <v>108</v>
      </c>
      <c r="H16" s="2" t="s">
        <v>39</v>
      </c>
      <c r="I16" s="5" t="s">
        <v>109</v>
      </c>
      <c r="J16" s="5" t="s">
        <v>110</v>
      </c>
      <c r="K16" s="5"/>
      <c r="L16" s="2" t="s">
        <v>26</v>
      </c>
      <c r="M16" s="2" t="s">
        <v>53</v>
      </c>
      <c r="N16" s="5"/>
      <c r="O16" s="5"/>
      <c r="P16" s="5"/>
    </row>
    <row r="17" customFormat="false" ht="23.85" hidden="false" customHeight="false" outlineLevel="0" collapsed="false">
      <c r="A17" s="2" t="s">
        <v>111</v>
      </c>
      <c r="B17" s="2" t="s">
        <v>112</v>
      </c>
      <c r="C17" s="3" t="s">
        <v>18</v>
      </c>
      <c r="D17" s="7" t="s">
        <v>89</v>
      </c>
      <c r="E17" s="2" t="s">
        <v>20</v>
      </c>
      <c r="F17" s="5" t="s">
        <v>113</v>
      </c>
      <c r="G17" s="5" t="s">
        <v>114</v>
      </c>
      <c r="H17" s="2" t="s">
        <v>23</v>
      </c>
      <c r="I17" s="5" t="s">
        <v>115</v>
      </c>
      <c r="J17" s="5" t="s">
        <v>116</v>
      </c>
      <c r="K17" s="5"/>
      <c r="L17" s="2" t="s">
        <v>26</v>
      </c>
      <c r="M17" s="2" t="s">
        <v>53</v>
      </c>
      <c r="N17" s="5"/>
      <c r="O17" s="5"/>
      <c r="P17" s="5"/>
    </row>
    <row r="18" customFormat="false" ht="23.85" hidden="false" customHeight="false" outlineLevel="0" collapsed="false">
      <c r="A18" s="2" t="s">
        <v>117</v>
      </c>
      <c r="B18" s="2" t="s">
        <v>118</v>
      </c>
      <c r="C18" s="8" t="s">
        <v>119</v>
      </c>
      <c r="D18" s="4" t="s">
        <v>19</v>
      </c>
      <c r="E18" s="2" t="s">
        <v>120</v>
      </c>
      <c r="F18" s="5" t="s">
        <v>121</v>
      </c>
      <c r="G18" s="5" t="s">
        <v>122</v>
      </c>
      <c r="H18" s="2" t="s">
        <v>123</v>
      </c>
      <c r="I18" s="5" t="s">
        <v>124</v>
      </c>
      <c r="J18" s="5" t="s">
        <v>125</v>
      </c>
      <c r="K18" s="5"/>
      <c r="L18" s="2" t="s">
        <v>26</v>
      </c>
      <c r="M18" s="2" t="s">
        <v>27</v>
      </c>
      <c r="N18" s="5"/>
      <c r="O18" s="5"/>
      <c r="P18" s="5"/>
    </row>
    <row r="19" customFormat="false" ht="23.85" hidden="false" customHeight="false" outlineLevel="0" collapsed="false">
      <c r="A19" s="2" t="s">
        <v>126</v>
      </c>
      <c r="B19" s="2" t="s">
        <v>127</v>
      </c>
      <c r="C19" s="8" t="s">
        <v>119</v>
      </c>
      <c r="D19" s="4" t="s">
        <v>19</v>
      </c>
      <c r="E19" s="2" t="s">
        <v>20</v>
      </c>
      <c r="F19" s="5" t="s">
        <v>128</v>
      </c>
      <c r="G19" s="5" t="s">
        <v>129</v>
      </c>
      <c r="H19" s="2" t="s">
        <v>130</v>
      </c>
      <c r="I19" s="5" t="s">
        <v>33</v>
      </c>
      <c r="J19" s="5" t="s">
        <v>131</v>
      </c>
      <c r="K19" s="5"/>
      <c r="L19" s="2" t="s">
        <v>26</v>
      </c>
      <c r="M19" s="2" t="s">
        <v>27</v>
      </c>
      <c r="N19" s="5"/>
      <c r="O19" s="5"/>
      <c r="P19" s="5"/>
    </row>
    <row r="20" customFormat="false" ht="23.85" hidden="false" customHeight="false" outlineLevel="0" collapsed="false">
      <c r="A20" s="2" t="s">
        <v>132</v>
      </c>
      <c r="B20" s="2" t="s">
        <v>133</v>
      </c>
      <c r="C20" s="8" t="s">
        <v>119</v>
      </c>
      <c r="D20" s="4" t="s">
        <v>19</v>
      </c>
      <c r="E20" s="2" t="s">
        <v>134</v>
      </c>
      <c r="F20" s="5" t="s">
        <v>128</v>
      </c>
      <c r="G20" s="5" t="s">
        <v>135</v>
      </c>
      <c r="H20" s="2" t="s">
        <v>136</v>
      </c>
      <c r="I20" s="5" t="s">
        <v>137</v>
      </c>
      <c r="J20" s="5" t="s">
        <v>138</v>
      </c>
      <c r="K20" s="5"/>
      <c r="L20" s="2" t="s">
        <v>26</v>
      </c>
      <c r="M20" s="2" t="s">
        <v>42</v>
      </c>
      <c r="N20" s="5"/>
      <c r="O20" s="5"/>
      <c r="P20" s="5"/>
    </row>
    <row r="21" customFormat="false" ht="15" hidden="false" customHeight="false" outlineLevel="0" collapsed="false">
      <c r="A21" s="2" t="s">
        <v>139</v>
      </c>
      <c r="B21" s="2" t="s">
        <v>140</v>
      </c>
      <c r="C21" s="8" t="s">
        <v>119</v>
      </c>
      <c r="D21" s="4" t="s">
        <v>19</v>
      </c>
      <c r="E21" s="2" t="s">
        <v>141</v>
      </c>
      <c r="F21" s="5" t="s">
        <v>128</v>
      </c>
      <c r="G21" s="5" t="s">
        <v>142</v>
      </c>
      <c r="H21" s="2" t="s">
        <v>143</v>
      </c>
      <c r="I21" s="5" t="s">
        <v>33</v>
      </c>
      <c r="J21" s="5" t="s">
        <v>144</v>
      </c>
      <c r="K21" s="5"/>
      <c r="L21" s="2" t="s">
        <v>26</v>
      </c>
      <c r="M21" s="2" t="s">
        <v>42</v>
      </c>
      <c r="N21" s="5"/>
      <c r="O21" s="5"/>
      <c r="P21" s="5"/>
    </row>
    <row r="22" customFormat="false" ht="23.85" hidden="false" customHeight="false" outlineLevel="0" collapsed="false">
      <c r="A22" s="2" t="s">
        <v>145</v>
      </c>
      <c r="B22" s="2" t="s">
        <v>146</v>
      </c>
      <c r="C22" s="8" t="s">
        <v>119</v>
      </c>
      <c r="D22" s="4" t="s">
        <v>19</v>
      </c>
      <c r="E22" s="2" t="s">
        <v>20</v>
      </c>
      <c r="F22" s="5" t="s">
        <v>147</v>
      </c>
      <c r="G22" s="5" t="s">
        <v>148</v>
      </c>
      <c r="H22" s="2" t="s">
        <v>130</v>
      </c>
      <c r="I22" s="5" t="s">
        <v>149</v>
      </c>
      <c r="J22" s="5" t="s">
        <v>150</v>
      </c>
      <c r="K22" s="5"/>
      <c r="L22" s="2" t="s">
        <v>26</v>
      </c>
      <c r="M22" s="2" t="s">
        <v>42</v>
      </c>
      <c r="N22" s="5"/>
      <c r="O22" s="5"/>
      <c r="P22" s="5"/>
    </row>
    <row r="23" customFormat="false" ht="23.85" hidden="false" customHeight="false" outlineLevel="0" collapsed="false">
      <c r="A23" s="2" t="s">
        <v>151</v>
      </c>
      <c r="B23" s="2" t="s">
        <v>152</v>
      </c>
      <c r="C23" s="8" t="s">
        <v>119</v>
      </c>
      <c r="D23" s="4" t="s">
        <v>19</v>
      </c>
      <c r="E23" s="2" t="s">
        <v>120</v>
      </c>
      <c r="F23" s="5" t="s">
        <v>121</v>
      </c>
      <c r="G23" s="5" t="s">
        <v>153</v>
      </c>
      <c r="H23" s="2" t="s">
        <v>123</v>
      </c>
      <c r="I23" s="5" t="s">
        <v>154</v>
      </c>
      <c r="J23" s="5" t="s">
        <v>155</v>
      </c>
      <c r="K23" s="5"/>
      <c r="L23" s="2" t="s">
        <v>26</v>
      </c>
      <c r="M23" s="2" t="s">
        <v>42</v>
      </c>
      <c r="N23" s="5"/>
      <c r="O23" s="5"/>
      <c r="P23" s="5"/>
    </row>
    <row r="24" customFormat="false" ht="23.85" hidden="false" customHeight="false" outlineLevel="0" collapsed="false">
      <c r="A24" s="2" t="s">
        <v>156</v>
      </c>
      <c r="B24" s="2" t="s">
        <v>157</v>
      </c>
      <c r="C24" s="8" t="s">
        <v>119</v>
      </c>
      <c r="D24" s="6" t="s">
        <v>62</v>
      </c>
      <c r="E24" s="2" t="s">
        <v>120</v>
      </c>
      <c r="F24" s="5" t="s">
        <v>121</v>
      </c>
      <c r="G24" s="5" t="s">
        <v>158</v>
      </c>
      <c r="H24" s="2" t="s">
        <v>123</v>
      </c>
      <c r="I24" s="5" t="s">
        <v>159</v>
      </c>
      <c r="J24" s="5" t="s">
        <v>160</v>
      </c>
      <c r="K24" s="5"/>
      <c r="L24" s="2" t="s">
        <v>26</v>
      </c>
      <c r="M24" s="2" t="s">
        <v>27</v>
      </c>
      <c r="N24" s="5"/>
      <c r="O24" s="5"/>
      <c r="P24" s="5"/>
    </row>
    <row r="25" customFormat="false" ht="23.85" hidden="false" customHeight="false" outlineLevel="0" collapsed="false">
      <c r="A25" s="2" t="s">
        <v>161</v>
      </c>
      <c r="B25" s="2" t="s">
        <v>162</v>
      </c>
      <c r="C25" s="8" t="s">
        <v>119</v>
      </c>
      <c r="D25" s="6" t="s">
        <v>62</v>
      </c>
      <c r="E25" s="2" t="s">
        <v>20</v>
      </c>
      <c r="F25" s="5" t="s">
        <v>128</v>
      </c>
      <c r="G25" s="5" t="s">
        <v>163</v>
      </c>
      <c r="H25" s="2" t="s">
        <v>130</v>
      </c>
      <c r="I25" s="5" t="s">
        <v>65</v>
      </c>
      <c r="J25" s="5" t="s">
        <v>164</v>
      </c>
      <c r="K25" s="5"/>
      <c r="L25" s="2" t="s">
        <v>26</v>
      </c>
      <c r="M25" s="2" t="s">
        <v>42</v>
      </c>
      <c r="N25" s="5"/>
      <c r="O25" s="5"/>
      <c r="P25" s="5"/>
    </row>
    <row r="26" customFormat="false" ht="23.85" hidden="false" customHeight="false" outlineLevel="0" collapsed="false">
      <c r="A26" s="2" t="s">
        <v>165</v>
      </c>
      <c r="B26" s="2" t="s">
        <v>166</v>
      </c>
      <c r="C26" s="8" t="s">
        <v>119</v>
      </c>
      <c r="D26" s="6" t="s">
        <v>62</v>
      </c>
      <c r="E26" s="2" t="s">
        <v>134</v>
      </c>
      <c r="F26" s="5" t="s">
        <v>128</v>
      </c>
      <c r="G26" s="5" t="s">
        <v>167</v>
      </c>
      <c r="H26" s="2" t="s">
        <v>136</v>
      </c>
      <c r="I26" s="5" t="s">
        <v>168</v>
      </c>
      <c r="J26" s="5" t="s">
        <v>169</v>
      </c>
      <c r="K26" s="5"/>
      <c r="L26" s="2" t="s">
        <v>26</v>
      </c>
      <c r="M26" s="2" t="s">
        <v>42</v>
      </c>
      <c r="N26" s="5"/>
      <c r="O26" s="5"/>
      <c r="P26" s="5"/>
    </row>
    <row r="27" customFormat="false" ht="23.85" hidden="false" customHeight="false" outlineLevel="0" collapsed="false">
      <c r="A27" s="2" t="s">
        <v>170</v>
      </c>
      <c r="B27" s="2" t="s">
        <v>171</v>
      </c>
      <c r="C27" s="8" t="s">
        <v>119</v>
      </c>
      <c r="D27" s="6" t="s">
        <v>62</v>
      </c>
      <c r="E27" s="2" t="s">
        <v>141</v>
      </c>
      <c r="F27" s="5" t="s">
        <v>128</v>
      </c>
      <c r="G27" s="5" t="s">
        <v>172</v>
      </c>
      <c r="H27" s="2" t="s">
        <v>143</v>
      </c>
      <c r="I27" s="5" t="s">
        <v>173</v>
      </c>
      <c r="J27" s="5" t="s">
        <v>174</v>
      </c>
      <c r="K27" s="5"/>
      <c r="L27" s="2" t="s">
        <v>26</v>
      </c>
      <c r="M27" s="2" t="s">
        <v>42</v>
      </c>
      <c r="N27" s="5"/>
      <c r="O27" s="5"/>
      <c r="P27" s="5"/>
    </row>
    <row r="28" customFormat="false" ht="23.85" hidden="false" customHeight="false" outlineLevel="0" collapsed="false">
      <c r="A28" s="2" t="s">
        <v>175</v>
      </c>
      <c r="B28" s="2" t="s">
        <v>176</v>
      </c>
      <c r="C28" s="8" t="s">
        <v>119</v>
      </c>
      <c r="D28" s="6" t="s">
        <v>62</v>
      </c>
      <c r="E28" s="2" t="s">
        <v>120</v>
      </c>
      <c r="F28" s="5" t="s">
        <v>121</v>
      </c>
      <c r="G28" s="5" t="s">
        <v>177</v>
      </c>
      <c r="H28" s="2" t="s">
        <v>123</v>
      </c>
      <c r="I28" s="5" t="s">
        <v>178</v>
      </c>
      <c r="J28" s="5" t="s">
        <v>179</v>
      </c>
      <c r="K28" s="5"/>
      <c r="L28" s="2" t="s">
        <v>26</v>
      </c>
      <c r="M28" s="2" t="s">
        <v>42</v>
      </c>
      <c r="N28" s="5"/>
      <c r="O28" s="5"/>
      <c r="P28" s="5"/>
    </row>
    <row r="29" customFormat="false" ht="23.85" hidden="false" customHeight="false" outlineLevel="0" collapsed="false">
      <c r="A29" s="2" t="s">
        <v>180</v>
      </c>
      <c r="B29" s="2" t="s">
        <v>181</v>
      </c>
      <c r="C29" s="8" t="s">
        <v>119</v>
      </c>
      <c r="D29" s="6" t="s">
        <v>62</v>
      </c>
      <c r="E29" s="2" t="s">
        <v>120</v>
      </c>
      <c r="F29" s="5" t="s">
        <v>121</v>
      </c>
      <c r="G29" s="5" t="s">
        <v>182</v>
      </c>
      <c r="H29" s="2" t="s">
        <v>123</v>
      </c>
      <c r="I29" s="5" t="s">
        <v>183</v>
      </c>
      <c r="J29" s="5" t="s">
        <v>184</v>
      </c>
      <c r="K29" s="5"/>
      <c r="L29" s="2" t="s">
        <v>26</v>
      </c>
      <c r="M29" s="2" t="s">
        <v>42</v>
      </c>
      <c r="N29" s="5"/>
      <c r="O29" s="5"/>
      <c r="P29" s="5"/>
    </row>
    <row r="30" customFormat="false" ht="35.05" hidden="false" customHeight="false" outlineLevel="0" collapsed="false">
      <c r="A30" s="2" t="s">
        <v>185</v>
      </c>
      <c r="B30" s="2" t="s">
        <v>186</v>
      </c>
      <c r="C30" s="8" t="s">
        <v>119</v>
      </c>
      <c r="D30" s="7" t="s">
        <v>89</v>
      </c>
      <c r="E30" s="2" t="s">
        <v>120</v>
      </c>
      <c r="F30" s="5" t="s">
        <v>121</v>
      </c>
      <c r="G30" s="5" t="s">
        <v>187</v>
      </c>
      <c r="H30" s="2" t="s">
        <v>123</v>
      </c>
      <c r="I30" s="5" t="s">
        <v>188</v>
      </c>
      <c r="J30" s="5" t="s">
        <v>189</v>
      </c>
      <c r="K30" s="5"/>
      <c r="L30" s="2" t="s">
        <v>26</v>
      </c>
      <c r="M30" s="2" t="s">
        <v>53</v>
      </c>
      <c r="N30" s="5"/>
      <c r="O30" s="5"/>
      <c r="P30" s="5"/>
    </row>
    <row r="31" customFormat="false" ht="23.85" hidden="false" customHeight="false" outlineLevel="0" collapsed="false">
      <c r="A31" s="2" t="s">
        <v>190</v>
      </c>
      <c r="B31" s="2" t="s">
        <v>191</v>
      </c>
      <c r="C31" s="8" t="s">
        <v>119</v>
      </c>
      <c r="D31" s="7" t="s">
        <v>89</v>
      </c>
      <c r="E31" s="2" t="s">
        <v>120</v>
      </c>
      <c r="F31" s="5" t="s">
        <v>121</v>
      </c>
      <c r="G31" s="5" t="s">
        <v>192</v>
      </c>
      <c r="H31" s="2" t="s">
        <v>123</v>
      </c>
      <c r="I31" s="5" t="s">
        <v>193</v>
      </c>
      <c r="J31" s="5" t="s">
        <v>194</v>
      </c>
      <c r="K31" s="5"/>
      <c r="L31" s="2" t="s">
        <v>26</v>
      </c>
      <c r="M31" s="2" t="s">
        <v>53</v>
      </c>
      <c r="N31" s="5"/>
      <c r="O31" s="5"/>
      <c r="P31" s="5"/>
    </row>
    <row r="32" customFormat="false" ht="35.05" hidden="false" customHeight="false" outlineLevel="0" collapsed="false">
      <c r="A32" s="2" t="s">
        <v>195</v>
      </c>
      <c r="B32" s="2" t="s">
        <v>196</v>
      </c>
      <c r="C32" s="8" t="s">
        <v>119</v>
      </c>
      <c r="D32" s="7" t="s">
        <v>89</v>
      </c>
      <c r="E32" s="2" t="s">
        <v>134</v>
      </c>
      <c r="F32" s="5" t="s">
        <v>128</v>
      </c>
      <c r="G32" s="5" t="s">
        <v>197</v>
      </c>
      <c r="H32" s="2" t="s">
        <v>136</v>
      </c>
      <c r="I32" s="5" t="s">
        <v>198</v>
      </c>
      <c r="J32" s="5" t="s">
        <v>199</v>
      </c>
      <c r="K32" s="5"/>
      <c r="L32" s="2" t="s">
        <v>26</v>
      </c>
      <c r="M32" s="2" t="s">
        <v>42</v>
      </c>
      <c r="N32" s="5"/>
      <c r="O32" s="5"/>
      <c r="P32" s="5"/>
    </row>
    <row r="33" customFormat="false" ht="23.85" hidden="false" customHeight="false" outlineLevel="0" collapsed="false">
      <c r="A33" s="2" t="s">
        <v>200</v>
      </c>
      <c r="B33" s="2" t="s">
        <v>201</v>
      </c>
      <c r="C33" s="8" t="s">
        <v>119</v>
      </c>
      <c r="D33" s="7" t="s">
        <v>89</v>
      </c>
      <c r="E33" s="2" t="s">
        <v>134</v>
      </c>
      <c r="F33" s="5" t="s">
        <v>128</v>
      </c>
      <c r="G33" s="5" t="s">
        <v>202</v>
      </c>
      <c r="H33" s="2" t="s">
        <v>136</v>
      </c>
      <c r="I33" s="5" t="s">
        <v>203</v>
      </c>
      <c r="J33" s="5" t="s">
        <v>204</v>
      </c>
      <c r="K33" s="5"/>
      <c r="L33" s="2" t="s">
        <v>26</v>
      </c>
      <c r="M33" s="2" t="s">
        <v>53</v>
      </c>
      <c r="N33" s="5"/>
      <c r="O33" s="5"/>
      <c r="P33" s="5"/>
    </row>
    <row r="34" customFormat="false" ht="23.85" hidden="false" customHeight="false" outlineLevel="0" collapsed="false">
      <c r="A34" s="2" t="s">
        <v>205</v>
      </c>
      <c r="B34" s="2" t="s">
        <v>206</v>
      </c>
      <c r="C34" s="8" t="s">
        <v>119</v>
      </c>
      <c r="D34" s="7" t="s">
        <v>89</v>
      </c>
      <c r="E34" s="2" t="s">
        <v>20</v>
      </c>
      <c r="F34" s="5" t="s">
        <v>128</v>
      </c>
      <c r="G34" s="5" t="s">
        <v>207</v>
      </c>
      <c r="H34" s="2" t="s">
        <v>130</v>
      </c>
      <c r="I34" s="5" t="s">
        <v>70</v>
      </c>
      <c r="J34" s="5" t="s">
        <v>71</v>
      </c>
      <c r="K34" s="5"/>
      <c r="L34" s="2" t="s">
        <v>26</v>
      </c>
      <c r="M34" s="2" t="s">
        <v>53</v>
      </c>
      <c r="N34" s="5"/>
      <c r="O34" s="5"/>
      <c r="P34" s="5"/>
    </row>
    <row r="35" customFormat="false" ht="23.85" hidden="false" customHeight="false" outlineLevel="0" collapsed="false">
      <c r="A35" s="2" t="s">
        <v>208</v>
      </c>
      <c r="B35" s="2" t="s">
        <v>209</v>
      </c>
      <c r="C35" s="9" t="s">
        <v>210</v>
      </c>
      <c r="D35" s="4" t="s">
        <v>19</v>
      </c>
      <c r="E35" s="2" t="s">
        <v>120</v>
      </c>
      <c r="F35" s="5" t="s">
        <v>211</v>
      </c>
      <c r="G35" s="5" t="s">
        <v>212</v>
      </c>
      <c r="H35" s="2" t="s">
        <v>213</v>
      </c>
      <c r="I35" s="5" t="s">
        <v>214</v>
      </c>
      <c r="J35" s="5" t="s">
        <v>215</v>
      </c>
      <c r="K35" s="5"/>
      <c r="L35" s="2" t="s">
        <v>26</v>
      </c>
      <c r="M35" s="2" t="s">
        <v>27</v>
      </c>
      <c r="N35" s="5"/>
      <c r="O35" s="5"/>
      <c r="P35" s="5"/>
    </row>
    <row r="36" customFormat="false" ht="23.85" hidden="false" customHeight="false" outlineLevel="0" collapsed="false">
      <c r="A36" s="2" t="s">
        <v>216</v>
      </c>
      <c r="B36" s="2" t="s">
        <v>217</v>
      </c>
      <c r="C36" s="9" t="s">
        <v>210</v>
      </c>
      <c r="D36" s="4" t="s">
        <v>19</v>
      </c>
      <c r="E36" s="2" t="s">
        <v>20</v>
      </c>
      <c r="F36" s="5" t="s">
        <v>218</v>
      </c>
      <c r="G36" s="5" t="s">
        <v>219</v>
      </c>
      <c r="H36" s="2" t="s">
        <v>220</v>
      </c>
      <c r="I36" s="5" t="s">
        <v>33</v>
      </c>
      <c r="J36" s="5" t="s">
        <v>221</v>
      </c>
      <c r="K36" s="5"/>
      <c r="L36" s="2" t="s">
        <v>26</v>
      </c>
      <c r="M36" s="2" t="s">
        <v>42</v>
      </c>
      <c r="N36" s="5"/>
      <c r="O36" s="5"/>
      <c r="P36" s="5"/>
    </row>
    <row r="37" customFormat="false" ht="23.85" hidden="false" customHeight="false" outlineLevel="0" collapsed="false">
      <c r="A37" s="2" t="s">
        <v>222</v>
      </c>
      <c r="B37" s="2" t="s">
        <v>223</v>
      </c>
      <c r="C37" s="9" t="s">
        <v>210</v>
      </c>
      <c r="D37" s="4" t="s">
        <v>19</v>
      </c>
      <c r="E37" s="2" t="s">
        <v>120</v>
      </c>
      <c r="F37" s="5" t="s">
        <v>211</v>
      </c>
      <c r="G37" s="5" t="s">
        <v>224</v>
      </c>
      <c r="H37" s="2" t="s">
        <v>213</v>
      </c>
      <c r="I37" s="5" t="s">
        <v>214</v>
      </c>
      <c r="J37" s="5" t="s">
        <v>225</v>
      </c>
      <c r="K37" s="5"/>
      <c r="L37" s="2" t="s">
        <v>26</v>
      </c>
      <c r="M37" s="2" t="s">
        <v>53</v>
      </c>
      <c r="N37" s="5"/>
      <c r="O37" s="5"/>
      <c r="P37" s="5"/>
    </row>
    <row r="38" customFormat="false" ht="35.05" hidden="false" customHeight="false" outlineLevel="0" collapsed="false">
      <c r="A38" s="2" t="s">
        <v>226</v>
      </c>
      <c r="B38" s="2" t="s">
        <v>227</v>
      </c>
      <c r="C38" s="9" t="s">
        <v>210</v>
      </c>
      <c r="D38" s="6" t="s">
        <v>62</v>
      </c>
      <c r="E38" s="2" t="s">
        <v>120</v>
      </c>
      <c r="F38" s="5" t="s">
        <v>211</v>
      </c>
      <c r="G38" s="5" t="s">
        <v>228</v>
      </c>
      <c r="H38" s="2" t="s">
        <v>229</v>
      </c>
      <c r="I38" s="5" t="s">
        <v>230</v>
      </c>
      <c r="J38" s="5" t="s">
        <v>231</v>
      </c>
      <c r="K38" s="5"/>
      <c r="L38" s="2" t="s">
        <v>26</v>
      </c>
      <c r="M38" s="2" t="s">
        <v>27</v>
      </c>
      <c r="N38" s="5"/>
      <c r="O38" s="5"/>
      <c r="P38" s="5"/>
    </row>
    <row r="39" customFormat="false" ht="35.05" hidden="false" customHeight="false" outlineLevel="0" collapsed="false">
      <c r="A39" s="2" t="s">
        <v>232</v>
      </c>
      <c r="B39" s="2" t="s">
        <v>233</v>
      </c>
      <c r="C39" s="9" t="s">
        <v>210</v>
      </c>
      <c r="D39" s="6" t="s">
        <v>62</v>
      </c>
      <c r="E39" s="2" t="s">
        <v>120</v>
      </c>
      <c r="F39" s="5" t="s">
        <v>211</v>
      </c>
      <c r="G39" s="5" t="s">
        <v>234</v>
      </c>
      <c r="H39" s="2" t="s">
        <v>229</v>
      </c>
      <c r="I39" s="5" t="s">
        <v>235</v>
      </c>
      <c r="J39" s="5" t="s">
        <v>231</v>
      </c>
      <c r="K39" s="5"/>
      <c r="L39" s="2" t="s">
        <v>26</v>
      </c>
      <c r="M39" s="2" t="s">
        <v>27</v>
      </c>
      <c r="N39" s="5"/>
      <c r="O39" s="5"/>
      <c r="P39" s="5"/>
    </row>
    <row r="40" customFormat="false" ht="23.85" hidden="false" customHeight="false" outlineLevel="0" collapsed="false">
      <c r="A40" s="2" t="s">
        <v>236</v>
      </c>
      <c r="B40" s="2" t="s">
        <v>237</v>
      </c>
      <c r="C40" s="9" t="s">
        <v>210</v>
      </c>
      <c r="D40" s="6" t="s">
        <v>62</v>
      </c>
      <c r="E40" s="2" t="s">
        <v>20</v>
      </c>
      <c r="F40" s="5" t="s">
        <v>218</v>
      </c>
      <c r="G40" s="5" t="s">
        <v>238</v>
      </c>
      <c r="H40" s="2" t="s">
        <v>220</v>
      </c>
      <c r="I40" s="5" t="s">
        <v>65</v>
      </c>
      <c r="J40" s="5" t="s">
        <v>239</v>
      </c>
      <c r="K40" s="5"/>
      <c r="L40" s="2" t="s">
        <v>26</v>
      </c>
      <c r="M40" s="2" t="s">
        <v>42</v>
      </c>
      <c r="N40" s="5"/>
      <c r="O40" s="5"/>
      <c r="P40" s="5"/>
    </row>
    <row r="41" customFormat="false" ht="23.85" hidden="false" customHeight="false" outlineLevel="0" collapsed="false">
      <c r="A41" s="2" t="s">
        <v>240</v>
      </c>
      <c r="B41" s="2" t="s">
        <v>241</v>
      </c>
      <c r="C41" s="9" t="s">
        <v>210</v>
      </c>
      <c r="D41" s="6" t="s">
        <v>62</v>
      </c>
      <c r="E41" s="2" t="s">
        <v>20</v>
      </c>
      <c r="F41" s="5" t="s">
        <v>218</v>
      </c>
      <c r="G41" s="5" t="s">
        <v>242</v>
      </c>
      <c r="H41" s="2" t="s">
        <v>220</v>
      </c>
      <c r="I41" s="5" t="s">
        <v>33</v>
      </c>
      <c r="J41" s="5" t="s">
        <v>243</v>
      </c>
      <c r="K41" s="5"/>
      <c r="L41" s="2" t="s">
        <v>26</v>
      </c>
      <c r="M41" s="2" t="s">
        <v>27</v>
      </c>
      <c r="N41" s="5"/>
      <c r="O41" s="5"/>
      <c r="P41" s="5"/>
    </row>
    <row r="42" customFormat="false" ht="23.85" hidden="false" customHeight="false" outlineLevel="0" collapsed="false">
      <c r="A42" s="2" t="s">
        <v>244</v>
      </c>
      <c r="B42" s="2" t="s">
        <v>245</v>
      </c>
      <c r="C42" s="9" t="s">
        <v>210</v>
      </c>
      <c r="D42" s="6" t="s">
        <v>62</v>
      </c>
      <c r="E42" s="2" t="s">
        <v>120</v>
      </c>
      <c r="F42" s="5" t="s">
        <v>211</v>
      </c>
      <c r="G42" s="5" t="s">
        <v>246</v>
      </c>
      <c r="H42" s="2" t="s">
        <v>229</v>
      </c>
      <c r="I42" s="5" t="s">
        <v>247</v>
      </c>
      <c r="J42" s="5" t="s">
        <v>248</v>
      </c>
      <c r="K42" s="5"/>
      <c r="L42" s="2" t="s">
        <v>26</v>
      </c>
      <c r="M42" s="2" t="s">
        <v>27</v>
      </c>
      <c r="N42" s="5"/>
      <c r="O42" s="5"/>
      <c r="P42" s="5"/>
    </row>
    <row r="43" customFormat="false" ht="23.85" hidden="false" customHeight="false" outlineLevel="0" collapsed="false">
      <c r="A43" s="2" t="s">
        <v>249</v>
      </c>
      <c r="B43" s="2" t="s">
        <v>250</v>
      </c>
      <c r="C43" s="9" t="s">
        <v>210</v>
      </c>
      <c r="D43" s="7" t="s">
        <v>89</v>
      </c>
      <c r="E43" s="2" t="s">
        <v>20</v>
      </c>
      <c r="F43" s="5" t="s">
        <v>218</v>
      </c>
      <c r="G43" s="5" t="s">
        <v>251</v>
      </c>
      <c r="H43" s="2" t="s">
        <v>220</v>
      </c>
      <c r="I43" s="5" t="s">
        <v>70</v>
      </c>
      <c r="J43" s="5" t="s">
        <v>71</v>
      </c>
      <c r="K43" s="5"/>
      <c r="L43" s="2" t="s">
        <v>26</v>
      </c>
      <c r="M43" s="2" t="s">
        <v>53</v>
      </c>
      <c r="N43" s="5"/>
      <c r="O43" s="5"/>
      <c r="P43" s="5"/>
    </row>
    <row r="44" customFormat="false" ht="23.85" hidden="false" customHeight="false" outlineLevel="0" collapsed="false">
      <c r="A44" s="2" t="s">
        <v>252</v>
      </c>
      <c r="B44" s="2" t="s">
        <v>253</v>
      </c>
      <c r="C44" s="9" t="s">
        <v>210</v>
      </c>
      <c r="D44" s="7" t="s">
        <v>89</v>
      </c>
      <c r="E44" s="2" t="s">
        <v>120</v>
      </c>
      <c r="F44" s="5" t="s">
        <v>211</v>
      </c>
      <c r="G44" s="5" t="s">
        <v>254</v>
      </c>
      <c r="H44" s="2" t="s">
        <v>213</v>
      </c>
      <c r="I44" s="5" t="s">
        <v>255</v>
      </c>
      <c r="J44" s="5" t="s">
        <v>256</v>
      </c>
      <c r="K44" s="5"/>
      <c r="L44" s="2" t="s">
        <v>26</v>
      </c>
      <c r="M44" s="2" t="s">
        <v>42</v>
      </c>
      <c r="N44" s="5"/>
      <c r="O44" s="5"/>
      <c r="P44" s="5"/>
    </row>
    <row r="45" customFormat="false" ht="35.05" hidden="false" customHeight="false" outlineLevel="0" collapsed="false">
      <c r="A45" s="2" t="s">
        <v>257</v>
      </c>
      <c r="B45" s="2" t="s">
        <v>258</v>
      </c>
      <c r="C45" s="9" t="s">
        <v>210</v>
      </c>
      <c r="D45" s="7" t="s">
        <v>89</v>
      </c>
      <c r="E45" s="2" t="s">
        <v>120</v>
      </c>
      <c r="F45" s="5" t="s">
        <v>211</v>
      </c>
      <c r="G45" s="5" t="s">
        <v>259</v>
      </c>
      <c r="H45" s="2" t="s">
        <v>103</v>
      </c>
      <c r="I45" s="5" t="s">
        <v>260</v>
      </c>
      <c r="J45" s="5" t="s">
        <v>105</v>
      </c>
      <c r="K45" s="5"/>
      <c r="L45" s="2" t="s">
        <v>26</v>
      </c>
      <c r="M45" s="2" t="s">
        <v>42</v>
      </c>
      <c r="N45" s="5"/>
      <c r="O45" s="5"/>
      <c r="P45" s="5"/>
    </row>
    <row r="46" customFormat="false" ht="23.85" hidden="false" customHeight="false" outlineLevel="0" collapsed="false">
      <c r="A46" s="2" t="s">
        <v>261</v>
      </c>
      <c r="B46" s="2" t="s">
        <v>262</v>
      </c>
      <c r="C46" s="9" t="s">
        <v>210</v>
      </c>
      <c r="D46" s="7" t="s">
        <v>89</v>
      </c>
      <c r="E46" s="2" t="s">
        <v>120</v>
      </c>
      <c r="F46" s="5" t="s">
        <v>211</v>
      </c>
      <c r="G46" s="5" t="s">
        <v>263</v>
      </c>
      <c r="H46" s="2" t="s">
        <v>264</v>
      </c>
      <c r="I46" s="5" t="s">
        <v>265</v>
      </c>
      <c r="J46" s="5" t="s">
        <v>266</v>
      </c>
      <c r="K46" s="5"/>
      <c r="L46" s="2" t="s">
        <v>26</v>
      </c>
      <c r="M46" s="2" t="s">
        <v>27</v>
      </c>
      <c r="N46" s="5"/>
      <c r="O46" s="5"/>
      <c r="P46" s="5"/>
    </row>
  </sheetData>
  <autoFilter ref="A1:P46"/>
  <dataValidations count="1">
    <dataValidation allowBlank="true" errorStyle="stop" operator="between" showDropDown="false" showErrorMessage="false" showInputMessage="false" sqref="L2:L46" type="list">
      <formula1>"Not Executed,Pass,Fail,Blocked,Skipped"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0" t="s">
        <v>267</v>
      </c>
      <c r="B1" s="10"/>
      <c r="C1" s="10"/>
    </row>
    <row r="3" customFormat="false" ht="15" hidden="false" customHeight="false" outlineLevel="0" collapsed="false">
      <c r="A3" s="11" t="s">
        <v>3</v>
      </c>
      <c r="B3" s="12" t="s">
        <v>268</v>
      </c>
    </row>
    <row r="4" customFormat="false" ht="15" hidden="false" customHeight="false" outlineLevel="0" collapsed="false">
      <c r="A4" s="12" t="s">
        <v>19</v>
      </c>
      <c r="B4" s="12" t="n">
        <f aca="false">COUNTIF(API_Test_Cases!D2:D46,"Positive")</f>
        <v>15</v>
      </c>
    </row>
    <row r="5" customFormat="false" ht="15" hidden="false" customHeight="false" outlineLevel="0" collapsed="false">
      <c r="A5" s="12" t="s">
        <v>62</v>
      </c>
      <c r="B5" s="12" t="n">
        <f aca="false">COUNTIF(API_Test_Cases!D2:D46,"Negative")</f>
        <v>16</v>
      </c>
    </row>
    <row r="6" customFormat="false" ht="15" hidden="false" customHeight="false" outlineLevel="0" collapsed="false">
      <c r="A6" s="12" t="s">
        <v>89</v>
      </c>
      <c r="B6" s="12" t="n">
        <f aca="false">COUNTIF(API_Test_Cases!D2:D46,"Edge Case")</f>
        <v>14</v>
      </c>
    </row>
    <row r="7" customFormat="false" ht="15" hidden="false" customHeight="false" outlineLevel="0" collapsed="false">
      <c r="A7" s="12" t="s">
        <v>269</v>
      </c>
      <c r="B7" s="12" t="n">
        <f aca="false">COUNTA(API_Test_Cases!A2:A46)</f>
        <v>45</v>
      </c>
    </row>
    <row r="9" customFormat="false" ht="15" hidden="false" customHeight="false" outlineLevel="0" collapsed="false">
      <c r="A9" s="13" t="s">
        <v>270</v>
      </c>
    </row>
    <row r="10" customFormat="false" ht="15" hidden="false" customHeight="false" outlineLevel="0" collapsed="false">
      <c r="A10" s="11" t="s">
        <v>2</v>
      </c>
      <c r="B10" s="12" t="s">
        <v>268</v>
      </c>
    </row>
    <row r="11" customFormat="false" ht="15" hidden="false" customHeight="false" outlineLevel="0" collapsed="false">
      <c r="A11" s="12" t="s">
        <v>18</v>
      </c>
      <c r="B11" s="12" t="n">
        <f aca="false">COUNTIF(API_Test_Cases!C2:C46,"Product")</f>
        <v>16</v>
      </c>
    </row>
    <row r="12" customFormat="false" ht="15" hidden="false" customHeight="false" outlineLevel="0" collapsed="false">
      <c r="A12" s="12" t="s">
        <v>119</v>
      </c>
      <c r="B12" s="12" t="n">
        <f aca="false">COUNTIF(API_Test_Cases!C2:C46,"Cart")</f>
        <v>17</v>
      </c>
    </row>
    <row r="13" customFormat="false" ht="15" hidden="false" customHeight="false" outlineLevel="0" collapsed="false">
      <c r="A13" s="12" t="s">
        <v>210</v>
      </c>
      <c r="B13" s="12" t="n">
        <f aca="false">COUNTIF(API_Test_Cases!C2:C46,"Auth")</f>
        <v>12</v>
      </c>
    </row>
    <row r="16" customFormat="false" ht="15" hidden="false" customHeight="false" outlineLevel="0" collapsed="false">
      <c r="A16" s="13" t="s">
        <v>271</v>
      </c>
    </row>
    <row r="17" customFormat="false" ht="15" hidden="false" customHeight="false" outlineLevel="0" collapsed="false">
      <c r="A17" s="11" t="s">
        <v>11</v>
      </c>
      <c r="B17" s="12" t="s">
        <v>268</v>
      </c>
    </row>
    <row r="18" customFormat="false" ht="15" hidden="false" customHeight="false" outlineLevel="0" collapsed="false">
      <c r="A18" s="12" t="s">
        <v>272</v>
      </c>
      <c r="B18" s="12" t="n">
        <f aca="false">COUNTIF(API_Test_Cases!L2:L46,"Pass")</f>
        <v>0</v>
      </c>
    </row>
    <row r="19" customFormat="false" ht="15" hidden="false" customHeight="false" outlineLevel="0" collapsed="false">
      <c r="A19" s="12" t="s">
        <v>273</v>
      </c>
      <c r="B19" s="12" t="n">
        <f aca="false">COUNTIF(API_Test_Cases!L2:L46,"Fail")</f>
        <v>0</v>
      </c>
    </row>
    <row r="20" customFormat="false" ht="15" hidden="false" customHeight="false" outlineLevel="0" collapsed="false">
      <c r="A20" s="12" t="s">
        <v>274</v>
      </c>
      <c r="B20" s="12" t="n">
        <f aca="false">COUNTIF(API_Test_Cases!L2:L46,"Blocked")</f>
        <v>0</v>
      </c>
    </row>
    <row r="21" customFormat="false" ht="15" hidden="false" customHeight="false" outlineLevel="0" collapsed="false">
      <c r="A21" s="12" t="s">
        <v>26</v>
      </c>
      <c r="B21" s="12" t="n">
        <f aca="false">COUNTIF(API_Test_Cases!L2:L46,"Not Executed")</f>
        <v>45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2026-07-18T15:24:35Z</dcterms:created>
  <dc:creator>openpyxl</dc:creator>
  <dc:description/>
  <dc:language>en-US</dc:language>
  <cp:lastModifiedBy/>
  <dcterms:modified xsi:type="dcterms:W3CDTF">2026-07-18T15:24:35Z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
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_Auth_Test_Cases" sheetId="1" state="visible" r:id="rId3"/>
    <sheet name="Summary" sheetId="2" state="visible" r:id="rId4"/>
  </sheets>
  <definedNames>
    <definedName function="false" hidden="true" localSheetId="0" name="_xlnm._FilterDatabase" vbProcedure="false">Login_Auth_Test_Cases!$A$1:$O$46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<sst xmlns="http://schemas.openxmlformats.org/spreadsheetml/2006/main" count="524" uniqueCount="319">
  <si>
    <t xml:space="preserve">Test Case ID</t>
  </si>
  <si>
    <t xml:space="preserve">Scenario ID</t>
  </si>
  <si>
    <t xml:space="preserve">Category</t>
  </si>
  <si>
    <t xml:space="preserve">Test Case Title</t>
  </si>
  <si>
    <t xml:space="preserve">Related Req ID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</si>
  <si>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</si>
  <si>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</si>
  <si>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</si>
  <si>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</si>
  <si>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</si>
  <si>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</si>
  <si>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</si>
  <si>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</si>
  <si>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</si>
  <si>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</si>
  <si>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TC-LOG-001</t>
  </si>
  <si>
    <t xml:space="preserve">TS-LOG-001</t>
  </si>
  <si>
    <t xml:space="preserve">Positive</t>
  </si>
  <si>
    <t xml:space="preserve">Login with valid credentials</t>
  </si>
  <si>
    <t xml:space="preserve">FR-01</t>
  </si>
  <si>
    <t xml:space="preserve">User is on the Login page; account 'standard_user' is active</t>
  </si>
  <si>
    <t xml:space="preserve">1. Enter username 'standard_user'
2. Enter password 'secret_sauce'
3. Click Login button</t>
  </si>
  <si>
    <t xml:space="preserve">Username: standard_user
Password: secret_sauce</t>
  </si>
  <si>
    <t xml:space="preserve">User is redirected to the Products/Inventory page</t>
  </si>
  <si>
    <t xml:space="preserve">Not Executed</t>
  </si>
  <si>
    <t xml:space="preserve">High</t>
  </si>
  <si>
    <t xml:space="preserve">TC-LOG-002</t>
  </si>
  <si>
    <t xml:space="preserve">TS-LOG-002</t>
  </si>
  <si>
    <t xml:space="preserve">Products page loads immediately after login</t>
  </si>
  <si>
    <t xml:space="preserve">User is on Login page with valid credentials ready</t>
  </si>
  <si>
    <t xml:space="preserve">1. Log in with valid credentials
2. Observe page load</t>
  </si>
  <si>
    <t xml:space="preserve">Inventory page loads with product list visible, no blank/broken page</t>
  </si>
  <si>
    <t xml:space="preserve">TC-LOG-003</t>
  </si>
  <si>
    <t xml:space="preserve">TS-LOG-003</t>
  </si>
  <si>
    <t xml:space="preserve">Login succeeds only with exact case-sensitive match</t>
  </si>
  <si>
    <t xml:space="preserve">User is on Login page</t>
  </si>
  <si>
    <t xml:space="preserve">1. Enter username exactly as registered ('standard_user')
2. Enter password exactly as registered ('secret_sauce')
3. Click Login</t>
  </si>
  <si>
    <t xml:space="preserve">Username: standard_user (exact case)
Password: secret_sauce (exact case)</t>
  </si>
  <si>
    <t xml:space="preserve">Login succeeds and Inventory page is displayed</t>
  </si>
  <si>
    <t xml:space="preserve">Medium</t>
  </si>
  <si>
    <t xml:space="preserve">TC-LOG-004</t>
  </si>
  <si>
    <t xml:space="preserve">TS-LOG-004</t>
  </si>
  <si>
    <t xml:space="preserve">Password field masks input</t>
  </si>
  <si>
    <t xml:space="preserve">FR-05</t>
  </si>
  <si>
    <t xml:space="preserve">1. Click password field
2. Type any password value
3. Observe field display</t>
  </si>
  <si>
    <t xml:space="preserve">Password: secret_sauce</t>
  </si>
  <si>
    <t xml:space="preserve">Characters appear as dots/asterisks, not plain text</t>
  </si>
  <si>
    <t xml:space="preserve">TC-LOG-005</t>
  </si>
  <si>
    <t xml:space="preserve">TS-LOG-005</t>
  </si>
  <si>
    <t xml:space="preserve">Logout via side menu</t>
  </si>
  <si>
    <t xml:space="preserve">FR-06</t>
  </si>
  <si>
    <t xml:space="preserve">User is logged in and on Inventory page</t>
  </si>
  <si>
    <t xml:space="preserve">1. Click hamburger menu icon
2. Click 'Logout' link</t>
  </si>
  <si>
    <t xml:space="preserve">N/A</t>
  </si>
  <si>
    <t xml:space="preserve">User is redirected to the Login page</t>
  </si>
  <si>
    <t xml:space="preserve">TC-LOG-006</t>
  </si>
  <si>
    <t xml:space="preserve">TS-LOG-006</t>
  </si>
  <si>
    <t xml:space="preserve">Redirect to login page after logout</t>
  </si>
  <si>
    <t xml:space="preserve">User is logged in</t>
  </si>
  <si>
    <t xml:space="preserve">1. Perform logout
2. Observe resulting page URL/content</t>
  </si>
  <si>
    <t xml:space="preserve">Login page (with username/password fields) is displayed</t>
  </si>
  <si>
    <t xml:space="preserve">TC-LOG-007</t>
  </si>
  <si>
    <t xml:space="preserve">TS-LOG-007</t>
  </si>
  <si>
    <t xml:space="preserve">Session cleared after logout</t>
  </si>
  <si>
    <t xml:space="preserve">1. Log out
2. Attempt to navigate directly to the inventory URL</t>
  </si>
  <si>
    <t xml:space="preserve">URL: /inventory.html</t>
  </si>
  <si>
    <t xml:space="preserve">User is redirected back to Login page (session/token invalidated)</t>
  </si>
  <si>
    <t xml:space="preserve">TC-LOG-008</t>
  </si>
  <si>
    <t xml:space="preserve">TS-LOG-008</t>
  </si>
  <si>
    <t xml:space="preserve">Re-login after logout</t>
  </si>
  <si>
    <t xml:space="preserve">User has just logged out</t>
  </si>
  <si>
    <t xml:space="preserve">1. On Login page, enter valid credentials again
2. Click Login</t>
  </si>
  <si>
    <t xml:space="preserve">User logs in successfully and Inventory page loads</t>
  </si>
  <si>
    <t xml:space="preserve">TC-LOG-009</t>
  </si>
  <si>
    <t xml:space="preserve">TS-LOG-009</t>
  </si>
  <si>
    <t xml:space="preserve">Submit login using Enter key</t>
  </si>
  <si>
    <t xml:space="preserve">1. Enter valid username and password
2. Press Enter key instead of clicking Login button</t>
  </si>
  <si>
    <t xml:space="preserve">Login form submits and user is redirected to Inventory page</t>
  </si>
  <si>
    <t xml:space="preserve">Low</t>
  </si>
  <si>
    <t xml:space="preserve">TC-LOG-010</t>
  </si>
  <si>
    <t xml:space="preserve">TS-LOG-010</t>
  </si>
  <si>
    <t xml:space="preserve">Login using browser autofill</t>
  </si>
  <si>
    <t xml:space="preserve">Browser has valid credentials saved for the site</t>
  </si>
  <si>
    <t xml:space="preserve">1. Click username field and select autofill suggestion
2. Confirm password autofills
3. Click Login</t>
  </si>
  <si>
    <t xml:space="preserve">Autofilled: standard_user / secret_sauce</t>
  </si>
  <si>
    <t xml:space="preserve">Login succeeds using autofilled values</t>
  </si>
  <si>
    <t xml:space="preserve">TC-LOG-011</t>
  </si>
  <si>
    <t xml:space="preserve">TS-LOG-011</t>
  </si>
  <si>
    <t xml:space="preserve">API returns valid token for valid credentials</t>
  </si>
  <si>
    <t xml:space="preserve">FR-38</t>
  </si>
  <si>
    <t xml:space="preserve">Fake Store API is reachable</t>
  </si>
  <si>
    <t xml:space="preserve">1. Send POST request to /auth/login with valid username and password in body
2. Inspect response</t>
  </si>
  <si>
    <t xml:space="preserve">Body: {"username":"mor_2314","password":"83r5^_"}</t>
  </si>
  <si>
    <t xml:space="preserve">Response status 200; response body contains a non-empty 'token' field</t>
  </si>
  <si>
    <t xml:space="preserve">TC-LOG-012</t>
  </si>
  <si>
    <t xml:space="preserve">TS-LOG-012</t>
  </si>
  <si>
    <t xml:space="preserve">Login response time under 2 seconds</t>
  </si>
  <si>
    <t xml:space="preserve">NFR-01</t>
  </si>
  <si>
    <t xml:space="preserve">User is on Login page; normal network conditions</t>
  </si>
  <si>
    <t xml:space="preserve">1. Enter valid credentials
2. Click Login
3. Measure time from click to page load complete</t>
  </si>
  <si>
    <t xml:space="preserve">Total response/redirect time is under 2 seconds</t>
  </si>
  <si>
    <t xml:space="preserve">TC-LOG-013</t>
  </si>
  <si>
    <t xml:space="preserve">TS-LOG-013</t>
  </si>
  <si>
    <t xml:space="preserve">Negative</t>
  </si>
  <si>
    <t xml:space="preserve">Login fails with invalid username, valid password</t>
  </si>
  <si>
    <t xml:space="preserve">FR-02</t>
  </si>
  <si>
    <t xml:space="preserve">1. Enter username 'wrong_user'
2. Enter password 'secret_sauce'
3. Click Login</t>
  </si>
  <si>
    <t xml:space="preserve">Username: wrong_user
Password: secret_sauce</t>
  </si>
  <si>
    <t xml:space="preserve">Error message displayed: 'Username and password do not match any user in this service'; user remains on Login page</t>
  </si>
  <si>
    <t xml:space="preserve">TC-LOG-014</t>
  </si>
  <si>
    <t xml:space="preserve">TS-LOG-014</t>
  </si>
  <si>
    <t xml:space="preserve">Login fails with valid username, invalid password</t>
  </si>
  <si>
    <t xml:space="preserve">1. Enter username 'standard_user'
2. Enter password 'wrong_pass'
3. Click Login</t>
  </si>
  <si>
    <t xml:space="preserve">Username: standard_user
Password: wrong_pass</t>
  </si>
  <si>
    <t xml:space="preserve">Same generic mismatch error displayed; user remains on Login page</t>
  </si>
  <si>
    <t xml:space="preserve">TC-LOG-015</t>
  </si>
  <si>
    <t xml:space="preserve">TS-LOG-015</t>
  </si>
  <si>
    <t xml:space="preserve">Login fails with both invalid username and password</t>
  </si>
  <si>
    <t xml:space="preserve">1. Enter username 'fake_user'
2. Enter password 'fake_pass'
3. Click Login</t>
  </si>
  <si>
    <t xml:space="preserve">Username: fake_user
Password: fake_pass</t>
  </si>
  <si>
    <t xml:space="preserve">Generic mismatch error displayed; user remains on Login page</t>
  </si>
  <si>
    <t xml:space="preserve">TC-LOG-016</t>
  </si>
  <si>
    <t xml:space="preserve">TS-LOG-016</t>
  </si>
  <si>
    <t xml:space="preserve">Login fails when username is empty</t>
  </si>
  <si>
    <t xml:space="preserve">FR-04</t>
  </si>
  <si>
    <t xml:space="preserve">1. Leave username field empty
2. Enter password 'secret_sauce'
3. Click Login</t>
  </si>
  <si>
    <t xml:space="preserve">Username: (empty)
Password: secret_sauce</t>
  </si>
  <si>
    <t xml:space="preserve">Error message: 'Username is required'; no request sent to server</t>
  </si>
  <si>
    <t xml:space="preserve">TC-LOG-017</t>
  </si>
  <si>
    <t xml:space="preserve">TS-LOG-017</t>
  </si>
  <si>
    <t xml:space="preserve">Login fails when password is empty</t>
  </si>
  <si>
    <t xml:space="preserve">1. Enter username 'standard_user'
2. Leave password field empty
3. Click Login</t>
  </si>
  <si>
    <t xml:space="preserve">Username: standard_user
Password: (empty)</t>
  </si>
  <si>
    <t xml:space="preserve">Error message: 'Password is required'; no request sent to server</t>
  </si>
  <si>
    <t xml:space="preserve">TC-LOG-018</t>
  </si>
  <si>
    <t xml:space="preserve">TS-LOG-018</t>
  </si>
  <si>
    <t xml:space="preserve">Login fails when both fields are empty</t>
  </si>
  <si>
    <t xml:space="preserve">1. Leave username field empty
2. Leave password field empty
3. Click Login</t>
  </si>
  <si>
    <t xml:space="preserve">Username: (empty)
Password: (empty)</t>
  </si>
  <si>
    <t xml:space="preserve">TC-LOG-019</t>
  </si>
  <si>
    <t xml:space="preserve">TS-LOG-019</t>
  </si>
  <si>
    <t xml:space="preserve">Locked-out user cannot log in</t>
  </si>
  <si>
    <t xml:space="preserve">FR-03</t>
  </si>
  <si>
    <t xml:space="preserve">Account 'locked_out_user' exists and is locked</t>
  </si>
  <si>
    <t xml:space="preserve">1. Enter username 'locked_out_user'
2. Enter correct password 'secret_sauce'
3. Click Login</t>
  </si>
  <si>
    <t xml:space="preserve">Username: locked_out_user
Password: secret_sauce</t>
  </si>
  <si>
    <t xml:space="preserve">Login is blocked; user remains on Login page</t>
  </si>
  <si>
    <t xml:space="preserve">TC-LOG-020</t>
  </si>
  <si>
    <t xml:space="preserve">TS-LOG-020</t>
  </si>
  <si>
    <t xml:space="preserve">Locked-out error message is specific</t>
  </si>
  <si>
    <t xml:space="preserve">1. Attempt login with locked_out_user and correct password
2. Read the displayed error text</t>
  </si>
  <si>
    <t xml:space="preserve">Error message reads exactly: 'Sorry, this user has been locked out.'</t>
  </si>
  <si>
    <t xml:space="preserve">TC-LOG-021</t>
  </si>
  <si>
    <t xml:space="preserve">TS-LOG-021</t>
  </si>
  <si>
    <t xml:space="preserve">Error message does not reveal which field was wrong</t>
  </si>
  <si>
    <t xml:space="preserve">FR-02 / NFR-03</t>
  </si>
  <si>
    <t xml:space="preserve">1. Attempt login with valid username + wrong password
2. Attempt login with invalid username + any password
3. Compare error messages</t>
  </si>
  <si>
    <t xml:space="preserve">Case A: standard_user / wrongpass
Case B: nouser / anypass</t>
  </si>
  <si>
    <t xml:space="preserve">Both cases return the identical generic error message (no hint which field was incorrect)</t>
  </si>
  <si>
    <t xml:space="preserve">TC-LOG-022</t>
  </si>
  <si>
    <t xml:space="preserve">TS-LOG-022</t>
  </si>
  <si>
    <t xml:space="preserve">Login fails with incorrect case in username</t>
  </si>
  <si>
    <t xml:space="preserve">1. Enter username 'Standard_User' (wrong case)
2. Enter password 'secret_sauce'
3. Click Login</t>
  </si>
  <si>
    <t xml:space="preserve">Username: Standard_User
Password: secret_sauce</t>
  </si>
  <si>
    <t xml:space="preserve">Generic mismatch error displayed; login fails</t>
  </si>
  <si>
    <t xml:space="preserve">TC-LOG-023</t>
  </si>
  <si>
    <t xml:space="preserve">TS-LOG-023</t>
  </si>
  <si>
    <t xml:space="preserve">Direct URL access blocked without login</t>
  </si>
  <si>
    <t xml:space="preserve">User is NOT logged in (fresh/incognito session)</t>
  </si>
  <si>
    <t xml:space="preserve">1. Without logging in, directly navigate to /inventory.html in the browser address bar</t>
  </si>
  <si>
    <t xml:space="preserve">URL: https://www.saucedemo.com/inventory.html</t>
  </si>
  <si>
    <t xml:space="preserve">User is redirected to Login page or shown an access error; inventory is not displayed</t>
  </si>
  <si>
    <t xml:space="preserve">TC-LOG-024</t>
  </si>
  <si>
    <t xml:space="preserve">TS-LOG-024</t>
  </si>
  <si>
    <t xml:space="preserve">No raw system errors exposed on login failure</t>
  </si>
  <si>
    <t xml:space="preserve">NFR-03</t>
  </si>
  <si>
    <t xml:space="preserve">1. Attempt several invalid login combinations
2. Inspect displayed error and browser console/network tab</t>
  </si>
  <si>
    <t xml:space="preserve">Various invalid username/password combinations</t>
  </si>
  <si>
    <t xml:space="preserve">Only user-friendly error text is shown; no stack trace, SQL error, or internal exception text visible</t>
  </si>
  <si>
    <t xml:space="preserve">TC-LOG-025</t>
  </si>
  <si>
    <t xml:space="preserve">TS-LOG-025</t>
  </si>
  <si>
    <t xml:space="preserve">API rejects invalid credentials</t>
  </si>
  <si>
    <t xml:space="preserve">FR-39</t>
  </si>
  <si>
    <t xml:space="preserve">1. Send POST to /auth/login with incorrect username/password
2. Inspect response status and body</t>
  </si>
  <si>
    <t xml:space="preserve">Body: {"username":"wrong","password":"wrong"}</t>
  </si>
  <si>
    <t xml:space="preserve">Response status is 401 (or documented error code); no token returned</t>
  </si>
  <si>
    <t xml:space="preserve">TC-LOG-026</t>
  </si>
  <si>
    <t xml:space="preserve">TS-LOG-026</t>
  </si>
  <si>
    <t xml:space="preserve">API rejects login with missing field</t>
  </si>
  <si>
    <t xml:space="preserve">1. Send POST to /auth/login with only 'username' field, omitting 'password'
2. Inspect response</t>
  </si>
  <si>
    <t xml:space="preserve">Body: {"username":"mor_2314"}</t>
  </si>
  <si>
    <t xml:space="preserve">Response indicates a validation/error status; no token returned</t>
  </si>
  <si>
    <t xml:space="preserve">TC-LOG-027</t>
  </si>
  <si>
    <t xml:space="preserve">TS-LOG-027</t>
  </si>
  <si>
    <t xml:space="preserve">SQL injection in username is rejected</t>
  </si>
  <si>
    <t xml:space="preserve">1. Enter username: ' OR '1'='1
2. Enter any password
3. Click Login</t>
  </si>
  <si>
    <t xml:space="preserve">Username: ' OR '1'='1
Password: anything</t>
  </si>
  <si>
    <t xml:space="preserve">Login fails with standard generic error; no unauthorized access is granted; no server error is thrown</t>
  </si>
  <si>
    <t xml:space="preserve">TC-LOG-028</t>
  </si>
  <si>
    <t xml:space="preserve">TS-LOG-028</t>
  </si>
  <si>
    <t xml:space="preserve">XSS payload in login fields is neutralized</t>
  </si>
  <si>
    <t xml:space="preserve">1. Enter username: &lt;script&gt;alert(1)&lt;/script&gt;
2. Enter any password
3. Click Login</t>
  </si>
  <si>
    <t xml:space="preserve">Username: &lt;script&gt;alert(1)&lt;/script&gt;
Password: anything</t>
  </si>
  <si>
    <t xml:space="preserve">Login fails normally; no script executes/alert popup appears; input is treated as plain text</t>
  </si>
  <si>
    <t xml:space="preserve">TC-LOG-029</t>
  </si>
  <si>
    <t xml:space="preserve">TS-LOG-029</t>
  </si>
  <si>
    <t xml:space="preserve">Password never appears in plaintext in logs/devtools</t>
  </si>
  <si>
    <t xml:space="preserve">NFR-06</t>
  </si>
  <si>
    <t xml:space="preserve">Browser DevTools available</t>
  </si>
  <si>
    <t xml:space="preserve">1. Open DevTools &gt; Network tab
2. Perform a login attempt
3. Inspect the request payload and console</t>
  </si>
  <si>
    <t xml:space="preserve">Password is not printed in plaintext in the console; if visible in network payload, request is over HTTPS</t>
  </si>
  <si>
    <t xml:space="preserve">TC-LOG-030</t>
  </si>
  <si>
    <t xml:space="preserve">TS-LOG-030</t>
  </si>
  <si>
    <t xml:space="preserve">Failed attempts don't reveal which field was wrong (repeat check)</t>
  </si>
  <si>
    <t xml:space="preserve">1. Try 3 different invalid combinations (bad user, bad pass, both bad)
2. Compare all resulting error messages</t>
  </si>
  <si>
    <t xml:space="preserve">Combination set of invalid username/password pairs</t>
  </si>
  <si>
    <t xml:space="preserve">All error messages are identical in wording across all failure types</t>
  </si>
  <si>
    <t xml:space="preserve">TC-LOG-031</t>
  </si>
  <si>
    <t xml:space="preserve">TS-LOG-031</t>
  </si>
  <si>
    <t xml:space="preserve">Edge Case</t>
  </si>
  <si>
    <t xml:space="preserve">Whitespace-only input is rejected</t>
  </si>
  <si>
    <t xml:space="preserve">1. Enter '   ' (spaces only) in username field
2. Enter '   ' (spaces only) in password field
3. Click Login</t>
  </si>
  <si>
    <t xml:space="preserve">Username: '   '
Password: '   '</t>
  </si>
  <si>
    <t xml:space="preserve">Required-field validation error is triggered; login does not proceed</t>
  </si>
  <si>
    <t xml:space="preserve">TC-LOG-032</t>
  </si>
  <si>
    <t xml:space="preserve">TS-LOG-032</t>
  </si>
  <si>
    <t xml:space="preserve">System handles extremely long input gracefully</t>
  </si>
  <si>
    <t xml:space="preserve">1. Enter a 500+ character string in the username field
2. Enter a normal password
3. Click Login</t>
  </si>
  <si>
    <t xml:space="preserve">Username: 'a' x 500
Password: secret_sauce</t>
  </si>
  <si>
    <t xml:space="preserve">System responds with normal error message; no crash, freeze, or unhandled exception</t>
  </si>
  <si>
    <t xml:space="preserve">TC-LOG-033</t>
  </si>
  <si>
    <t xml:space="preserve">TS-LOG-033</t>
  </si>
  <si>
    <t xml:space="preserve">System handles special characters in input</t>
  </si>
  <si>
    <t xml:space="preserve">1. Enter '!@#$%^&amp;*()' as username
2. Enter '!@#$%^&amp;*()' as password
3. Click Login</t>
  </si>
  <si>
    <t xml:space="preserve">Username: !@#$%^&amp;*()
Password: !@#$%^&amp;*()</t>
  </si>
  <si>
    <t xml:space="preserve">Login fails gracefully with standard error message; no application error</t>
  </si>
  <si>
    <t xml:space="preserve">TC-LOG-034</t>
  </si>
  <si>
    <t xml:space="preserve">TS-LOG-034</t>
  </si>
  <si>
    <t xml:space="preserve">System handles Unicode/emoji input</t>
  </si>
  <si>
    <t xml:space="preserve">1. Enter a username containing emoji/Unicode characters (e.g. 'user😀name')
2. Enter any password
3. Click Login</t>
  </si>
  <si>
    <t xml:space="preserve">Username: user😀name
Password: secret_sauce</t>
  </si>
  <si>
    <t xml:space="preserve">Login fails gracefully with standard error message; no rendering/encoding errors</t>
  </si>
  <si>
    <t xml:space="preserve">TC-LOG-035</t>
  </si>
  <si>
    <t xml:space="preserve">TS-LOG-035</t>
  </si>
  <si>
    <t xml:space="preserve">Pasted credentials with hidden characters handled correctly</t>
  </si>
  <si>
    <t xml:space="preserve">User has copied 'standard_user\n' (with trailing newline) to clipboard</t>
  </si>
  <si>
    <t xml:space="preserve">1. Paste the copied username into the username field
2. Enter correct password
3. Click Login</t>
  </si>
  <si>
    <t xml:space="preserve">Username: standard_user\n (pasted)
Password: secret_sauce</t>
  </si>
  <si>
    <t xml:space="preserve">Either login fails cleanly (extra char treated as invalid) or the value is trimmed and login succeeds — behavior should be consistent and documented, not erratic</t>
  </si>
  <si>
    <t xml:space="preserve">TC-LOG-036</t>
  </si>
  <si>
    <t xml:space="preserve">TS-LOG-036</t>
  </si>
  <si>
    <t xml:space="preserve">Double-click on Login button does not cause duplicate submission</t>
  </si>
  <si>
    <t xml:space="preserve">User is on Login page with valid credentials entered</t>
  </si>
  <si>
    <t xml:space="preserve">1. Enter valid credentials
2. Rapidly double-click the Login button</t>
  </si>
  <si>
    <t xml:space="preserve">Only one login request is processed; user lands on Inventory page normally, no duplicate session/error</t>
  </si>
  <si>
    <t xml:space="preserve">TC-LOG-037</t>
  </si>
  <si>
    <t xml:space="preserve">TS-LOG-037</t>
  </si>
  <si>
    <t xml:space="preserve">Simultaneous login in two browser tabs</t>
  </si>
  <si>
    <t xml:space="preserve">FR-01 / FR-06</t>
  </si>
  <si>
    <t xml:space="preserve">User has the Login page open in two separate browser tabs</t>
  </si>
  <si>
    <t xml:space="preserve">1. Log in successfully in Tab 1
2. Switch to Tab 2 and attempt login with same credentials</t>
  </si>
  <si>
    <t xml:space="preserve">Username: standard_user
Password: secret_sauce (both tabs)</t>
  </si>
  <si>
    <t xml:space="preserve">Tab 2 either logs in successfully to a valid session or shows a consistent, non-erroneous result</t>
  </si>
  <si>
    <t xml:space="preserve">TC-LOG-038</t>
  </si>
  <si>
    <t xml:space="preserve">TS-LOG-038</t>
  </si>
  <si>
    <t xml:space="preserve">Login handles slow/intermittent network gracefully</t>
  </si>
  <si>
    <t xml:space="preserve">Network throttling is enabled (e.g. via DevTools 'Slow 3G')</t>
  </si>
  <si>
    <t xml:space="preserve">1. Enter valid credentials
2. Click Login under throttled network conditions
3. Observe behavior</t>
  </si>
  <si>
    <t xml:space="preserve">A loading indicator is shown or a timeout message appears; page does not hang indefinitely with no feedback</t>
  </si>
  <si>
    <t xml:space="preserve">TC-LOG-039</t>
  </si>
  <si>
    <t xml:space="preserve">TS-LOG-039</t>
  </si>
  <si>
    <t xml:space="preserve">Back button after logout does not restore session</t>
  </si>
  <si>
    <t xml:space="preserve">User is logged in, then logs out</t>
  </si>
  <si>
    <t xml:space="preserve">1. Log out
2. Click the browser's Back button</t>
  </si>
  <si>
    <t xml:space="preserve">User is NOT shown the authenticated Inventory page; either redirected to Login or shown cached page with no access to data</t>
  </si>
  <si>
    <t xml:space="preserve">TC-LOG-040</t>
  </si>
  <si>
    <t xml:space="preserve">TS-LOG-040</t>
  </si>
  <si>
    <t xml:space="preserve">Page refresh mid-submission does not break login</t>
  </si>
  <si>
    <t xml:space="preserve">1. Enter valid credentials
2. Click Login
3. Immediately refresh the page (F5) before the page fully loads</t>
  </si>
  <si>
    <t xml:space="preserve">No duplicate submission occurs; user ends up in a consistent state (either logged in or back at Login page cleanly)</t>
  </si>
  <si>
    <t xml:space="preserve">TC-LOG-041</t>
  </si>
  <si>
    <t xml:space="preserve">TS-LOG-041</t>
  </si>
  <si>
    <t xml:space="preserve">Caps Lock changes password case and login correctly fails</t>
  </si>
  <si>
    <t xml:space="preserve">User is on Login page; Caps Lock is ON</t>
  </si>
  <si>
    <t xml:space="preserve">1. Enter correct username
2. Type password with Caps Lock on (case will differ from actual password)
3. Click Login</t>
  </si>
  <si>
    <t xml:space="preserve">Username: standard_user
Password: SECRET_SAUCE (typed with caps lock on, actual is secret_sauce)</t>
  </si>
  <si>
    <t xml:space="preserve">Login fails with generic mismatch error, since password is case-sensitive</t>
  </si>
  <si>
    <t xml:space="preserve">TC-LOG-042</t>
  </si>
  <si>
    <t xml:space="preserve">TS-LOG-042</t>
  </si>
  <si>
    <t xml:space="preserve">API handles malformed JSON body without server error</t>
  </si>
  <si>
    <t xml:space="preserve">FR-39 / NFR-03</t>
  </si>
  <si>
    <t xml:space="preserve">1. Send POST to /auth/login with a malformed JSON body (e.g. missing closing brace)
2. Inspect response</t>
  </si>
  <si>
    <t xml:space="preserve">Body: {"username":"mor_2314","password":"83r5^_"  (malformed)</t>
  </si>
  <si>
    <t xml:space="preserve">API returns a client error status (4xx) with a clear message; no 500 server crash</t>
  </si>
  <si>
    <t xml:space="preserve">TC-LOG-043</t>
  </si>
  <si>
    <t xml:space="preserve">TS-LOG-043</t>
  </si>
  <si>
    <t xml:space="preserve">API handles unexpected extra fields in payload</t>
  </si>
  <si>
    <t xml:space="preserve">1. Send POST to /auth/login with valid username/password plus an extra unexpected field
2. Inspect response</t>
  </si>
  <si>
    <t xml:space="preserve">Body: {"username":"mor_2314","password":"83r5^_","extraField":"test"}</t>
  </si>
  <si>
    <t xml:space="preserve">API ignores the extra field and processes login normally, returning a valid token</t>
  </si>
  <si>
    <t xml:space="preserve">TC-LOG-044</t>
  </si>
  <si>
    <t xml:space="preserve">TS-LOG-044</t>
  </si>
  <si>
    <t xml:space="preserve">Boundary-length invalid input is still rejected correctly</t>
  </si>
  <si>
    <t xml:space="preserve">1. Enter a 1-character username 'a'
2. Enter a 1-character password 'b'
3. Click Login</t>
  </si>
  <si>
    <t xml:space="preserve">Username: a
Password: b</t>
  </si>
  <si>
    <t xml:space="preserve">Login fails with standard generic mismatch error; no special/different handling for very short input</t>
  </si>
  <si>
    <t xml:space="preserve">TC-LOG-045</t>
  </si>
  <si>
    <t xml:space="preserve">TS-LOG-045</t>
  </si>
  <si>
    <t xml:space="preserve">Session does not remain valid indefinitely without expiry</t>
  </si>
  <si>
    <t xml:space="preserve">User has been logged in and inactive for an extended period (per defined session policy)</t>
  </si>
  <si>
    <t xml:space="preserve">1. Log in
2. Leave the session idle for the defined timeout period (or simulate via token expiry if testable)
3. Attempt an authenticated action</t>
  </si>
  <si>
    <t xml:space="preserve">Session/token is no longer valid after the expiry window; user is required to log in again</t>
  </si>
  <si>
    <t xml:space="preserve">Login / Authentication Test Case Summary</t>
  </si>
  <si>
    <t xml:space="preserve">Count</t>
  </si>
  <si>
    <t xml:space="preserve">Total</t>
  </si>
  <si>
    <t xml:space="preserve">Execution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</si>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</sst>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3" t="s">
        <v>17</v>
      </c>
      <c r="D2" s="4" t="s">
        <v>18</v>
      </c>
      <c r="E2" s="2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/>
      <c r="K2" s="2" t="s">
        <v>24</v>
      </c>
      <c r="L2" s="2" t="s">
        <v>25</v>
      </c>
      <c r="M2" s="4"/>
      <c r="N2" s="4"/>
      <c r="O2" s="4"/>
    </row>
    <row r="3" customFormat="false" ht="23.85" hidden="false" customHeight="false" outlineLevel="0" collapsed="false">
      <c r="A3" s="2" t="s">
        <v>26</v>
      </c>
      <c r="B3" s="2" t="s">
        <v>27</v>
      </c>
      <c r="C3" s="3" t="s">
        <v>17</v>
      </c>
      <c r="D3" s="4" t="s">
        <v>28</v>
      </c>
      <c r="E3" s="2" t="s">
        <v>19</v>
      </c>
      <c r="F3" s="4" t="s">
        <v>29</v>
      </c>
      <c r="G3" s="4" t="s">
        <v>30</v>
      </c>
      <c r="H3" s="4" t="s">
        <v>22</v>
      </c>
      <c r="I3" s="4" t="s">
        <v>31</v>
      </c>
      <c r="J3" s="4"/>
      <c r="K3" s="2" t="s">
        <v>24</v>
      </c>
      <c r="L3" s="2" t="s">
        <v>25</v>
      </c>
      <c r="M3" s="4"/>
      <c r="N3" s="4"/>
      <c r="O3" s="4"/>
    </row>
    <row r="4" customFormat="false" ht="57.45" hidden="false" customHeight="false" outlineLevel="0" collapsed="false">
      <c r="A4" s="2" t="s">
        <v>32</v>
      </c>
      <c r="B4" s="2" t="s">
        <v>33</v>
      </c>
      <c r="C4" s="3" t="s">
        <v>17</v>
      </c>
      <c r="D4" s="4" t="s">
        <v>34</v>
      </c>
      <c r="E4" s="2" t="s">
        <v>19</v>
      </c>
      <c r="F4" s="4" t="s">
        <v>35</v>
      </c>
      <c r="G4" s="4" t="s">
        <v>36</v>
      </c>
      <c r="H4" s="4" t="s">
        <v>37</v>
      </c>
      <c r="I4" s="4" t="s">
        <v>38</v>
      </c>
      <c r="J4" s="4"/>
      <c r="K4" s="2" t="s">
        <v>24</v>
      </c>
      <c r="L4" s="2" t="s">
        <v>39</v>
      </c>
      <c r="M4" s="4"/>
      <c r="N4" s="4"/>
      <c r="O4" s="4"/>
    </row>
    <row r="5" customFormat="false" ht="35.05" hidden="false" customHeight="false" outlineLevel="0" collapsed="false">
      <c r="A5" s="2" t="s">
        <v>40</v>
      </c>
      <c r="B5" s="2" t="s">
        <v>41</v>
      </c>
      <c r="C5" s="3" t="s">
        <v>17</v>
      </c>
      <c r="D5" s="4" t="s">
        <v>42</v>
      </c>
      <c r="E5" s="2" t="s">
        <v>43</v>
      </c>
      <c r="F5" s="4" t="s">
        <v>35</v>
      </c>
      <c r="G5" s="4" t="s">
        <v>44</v>
      </c>
      <c r="H5" s="4" t="s">
        <v>45</v>
      </c>
      <c r="I5" s="4" t="s">
        <v>46</v>
      </c>
      <c r="J5" s="4"/>
      <c r="K5" s="2" t="s">
        <v>24</v>
      </c>
      <c r="L5" s="2" t="s">
        <v>39</v>
      </c>
      <c r="M5" s="4"/>
      <c r="N5" s="4"/>
      <c r="O5" s="4"/>
    </row>
    <row r="6" customFormat="false" ht="23.85" hidden="false" customHeight="false" outlineLevel="0" collapsed="false">
      <c r="A6" s="2" t="s">
        <v>47</v>
      </c>
      <c r="B6" s="2" t="s">
        <v>48</v>
      </c>
      <c r="C6" s="3" t="s">
        <v>17</v>
      </c>
      <c r="D6" s="4" t="s">
        <v>49</v>
      </c>
      <c r="E6" s="2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/>
      <c r="K6" s="2" t="s">
        <v>24</v>
      </c>
      <c r="L6" s="2" t="s">
        <v>25</v>
      </c>
      <c r="M6" s="4"/>
      <c r="N6" s="4"/>
      <c r="O6" s="4"/>
    </row>
    <row r="7" customFormat="false" ht="23.85" hidden="false" customHeight="false" outlineLevel="0" collapsed="false">
      <c r="A7" s="2" t="s">
        <v>55</v>
      </c>
      <c r="B7" s="2" t="s">
        <v>56</v>
      </c>
      <c r="C7" s="3" t="s">
        <v>17</v>
      </c>
      <c r="D7" s="4" t="s">
        <v>57</v>
      </c>
      <c r="E7" s="2" t="s">
        <v>50</v>
      </c>
      <c r="F7" s="4" t="s">
        <v>58</v>
      </c>
      <c r="G7" s="4" t="s">
        <v>59</v>
      </c>
      <c r="H7" s="4" t="s">
        <v>53</v>
      </c>
      <c r="I7" s="4" t="s">
        <v>60</v>
      </c>
      <c r="J7" s="4"/>
      <c r="K7" s="2" t="s">
        <v>24</v>
      </c>
      <c r="L7" s="2" t="s">
        <v>25</v>
      </c>
      <c r="M7" s="4"/>
      <c r="N7" s="4"/>
      <c r="O7" s="4"/>
    </row>
    <row r="8" customFormat="false" ht="35.05" hidden="false" customHeight="false" outlineLevel="0" collapsed="false">
      <c r="A8" s="2" t="s">
        <v>61</v>
      </c>
      <c r="B8" s="2" t="s">
        <v>62</v>
      </c>
      <c r="C8" s="3" t="s">
        <v>17</v>
      </c>
      <c r="D8" s="4" t="s">
        <v>63</v>
      </c>
      <c r="E8" s="2" t="s">
        <v>50</v>
      </c>
      <c r="F8" s="4" t="s">
        <v>58</v>
      </c>
      <c r="G8" s="4" t="s">
        <v>64</v>
      </c>
      <c r="H8" s="4" t="s">
        <v>65</v>
      </c>
      <c r="I8" s="4" t="s">
        <v>66</v>
      </c>
      <c r="J8" s="4"/>
      <c r="K8" s="2" t="s">
        <v>24</v>
      </c>
      <c r="L8" s="2" t="s">
        <v>25</v>
      </c>
      <c r="M8" s="4"/>
      <c r="N8" s="4"/>
      <c r="O8" s="4"/>
    </row>
    <row r="9" customFormat="false" ht="23.85" hidden="false" customHeight="false" outlineLevel="0" collapsed="false">
      <c r="A9" s="2" t="s">
        <v>67</v>
      </c>
      <c r="B9" s="2" t="s">
        <v>68</v>
      </c>
      <c r="C9" s="3" t="s">
        <v>17</v>
      </c>
      <c r="D9" s="4" t="s">
        <v>69</v>
      </c>
      <c r="E9" s="2" t="s">
        <v>19</v>
      </c>
      <c r="F9" s="4" t="s">
        <v>70</v>
      </c>
      <c r="G9" s="4" t="s">
        <v>71</v>
      </c>
      <c r="H9" s="4" t="s">
        <v>22</v>
      </c>
      <c r="I9" s="4" t="s">
        <v>72</v>
      </c>
      <c r="J9" s="4"/>
      <c r="K9" s="2" t="s">
        <v>24</v>
      </c>
      <c r="L9" s="2" t="s">
        <v>39</v>
      </c>
      <c r="M9" s="4"/>
      <c r="N9" s="4"/>
      <c r="O9" s="4"/>
    </row>
    <row r="10" customFormat="false" ht="35.05" hidden="false" customHeight="false" outlineLevel="0" collapsed="false">
      <c r="A10" s="2" t="s">
        <v>73</v>
      </c>
      <c r="B10" s="2" t="s">
        <v>74</v>
      </c>
      <c r="C10" s="3" t="s">
        <v>17</v>
      </c>
      <c r="D10" s="4" t="s">
        <v>75</v>
      </c>
      <c r="E10" s="2" t="s">
        <v>19</v>
      </c>
      <c r="F10" s="4" t="s">
        <v>35</v>
      </c>
      <c r="G10" s="4" t="s">
        <v>76</v>
      </c>
      <c r="H10" s="4" t="s">
        <v>22</v>
      </c>
      <c r="I10" s="4" t="s">
        <v>77</v>
      </c>
      <c r="J10" s="4"/>
      <c r="K10" s="2" t="s">
        <v>24</v>
      </c>
      <c r="L10" s="2" t="s">
        <v>78</v>
      </c>
      <c r="M10" s="4"/>
      <c r="N10" s="4"/>
      <c r="O10" s="4"/>
    </row>
    <row r="11" customFormat="false" ht="46.25" hidden="false" customHeight="false" outlineLevel="0" collapsed="false">
      <c r="A11" s="2" t="s">
        <v>79</v>
      </c>
      <c r="B11" s="2" t="s">
        <v>80</v>
      </c>
      <c r="C11" s="3" t="s">
        <v>17</v>
      </c>
      <c r="D11" s="4" t="s">
        <v>81</v>
      </c>
      <c r="E11" s="2" t="s">
        <v>19</v>
      </c>
      <c r="F11" s="4" t="s">
        <v>82</v>
      </c>
      <c r="G11" s="4" t="s">
        <v>83</v>
      </c>
      <c r="H11" s="4" t="s">
        <v>84</v>
      </c>
      <c r="I11" s="4" t="s">
        <v>85</v>
      </c>
      <c r="J11" s="4"/>
      <c r="K11" s="2" t="s">
        <v>24</v>
      </c>
      <c r="L11" s="2" t="s">
        <v>78</v>
      </c>
      <c r="M11" s="4"/>
      <c r="N11" s="4"/>
      <c r="O11" s="4"/>
    </row>
    <row r="12" customFormat="false" ht="35.05" hidden="false" customHeight="false" outlineLevel="0" collapsed="false">
      <c r="A12" s="2" t="s">
        <v>86</v>
      </c>
      <c r="B12" s="2" t="s">
        <v>87</v>
      </c>
      <c r="C12" s="3" t="s">
        <v>17</v>
      </c>
      <c r="D12" s="4" t="s">
        <v>88</v>
      </c>
      <c r="E12" s="2" t="s">
        <v>89</v>
      </c>
      <c r="F12" s="4" t="s">
        <v>90</v>
      </c>
      <c r="G12" s="4" t="s">
        <v>91</v>
      </c>
      <c r="H12" s="4" t="s">
        <v>92</v>
      </c>
      <c r="I12" s="4" t="s">
        <v>93</v>
      </c>
      <c r="J12" s="4"/>
      <c r="K12" s="2" t="s">
        <v>24</v>
      </c>
      <c r="L12" s="2" t="s">
        <v>25</v>
      </c>
      <c r="M12" s="4"/>
      <c r="N12" s="4"/>
      <c r="O12" s="4"/>
    </row>
    <row r="13" customFormat="false" ht="35.05" hidden="false" customHeight="false" outlineLevel="0" collapsed="false">
      <c r="A13" s="2" t="s">
        <v>94</v>
      </c>
      <c r="B13" s="2" t="s">
        <v>95</v>
      </c>
      <c r="C13" s="3" t="s">
        <v>17</v>
      </c>
      <c r="D13" s="4" t="s">
        <v>96</v>
      </c>
      <c r="E13" s="2" t="s">
        <v>97</v>
      </c>
      <c r="F13" s="4" t="s">
        <v>98</v>
      </c>
      <c r="G13" s="4" t="s">
        <v>99</v>
      </c>
      <c r="H13" s="4" t="s">
        <v>22</v>
      </c>
      <c r="I13" s="4" t="s">
        <v>100</v>
      </c>
      <c r="J13" s="4"/>
      <c r="K13" s="2" t="s">
        <v>24</v>
      </c>
      <c r="L13" s="2" t="s">
        <v>39</v>
      </c>
      <c r="M13" s="4"/>
      <c r="N13" s="4"/>
      <c r="O13" s="4"/>
    </row>
    <row r="14" customFormat="false" ht="35.05" hidden="false" customHeight="false" outlineLevel="0" collapsed="false">
      <c r="A14" s="2" t="s">
        <v>101</v>
      </c>
      <c r="B14" s="2" t="s">
        <v>102</v>
      </c>
      <c r="C14" s="5" t="s">
        <v>103</v>
      </c>
      <c r="D14" s="4" t="s">
        <v>104</v>
      </c>
      <c r="E14" s="2" t="s">
        <v>105</v>
      </c>
      <c r="F14" s="4" t="s">
        <v>35</v>
      </c>
      <c r="G14" s="4" t="s">
        <v>106</v>
      </c>
      <c r="H14" s="4" t="s">
        <v>107</v>
      </c>
      <c r="I14" s="4" t="s">
        <v>108</v>
      </c>
      <c r="J14" s="4"/>
      <c r="K14" s="2" t="s">
        <v>24</v>
      </c>
      <c r="L14" s="2" t="s">
        <v>25</v>
      </c>
      <c r="M14" s="4"/>
      <c r="N14" s="4"/>
      <c r="O14" s="4"/>
    </row>
    <row r="15" customFormat="false" ht="35.05" hidden="false" customHeight="false" outlineLevel="0" collapsed="false">
      <c r="A15" s="2" t="s">
        <v>109</v>
      </c>
      <c r="B15" s="2" t="s">
        <v>110</v>
      </c>
      <c r="C15" s="5" t="s">
        <v>103</v>
      </c>
      <c r="D15" s="4" t="s">
        <v>111</v>
      </c>
      <c r="E15" s="2" t="s">
        <v>105</v>
      </c>
      <c r="F15" s="4" t="s">
        <v>35</v>
      </c>
      <c r="G15" s="4" t="s">
        <v>112</v>
      </c>
      <c r="H15" s="4" t="s">
        <v>113</v>
      </c>
      <c r="I15" s="4" t="s">
        <v>114</v>
      </c>
      <c r="J15" s="4"/>
      <c r="K15" s="2" t="s">
        <v>24</v>
      </c>
      <c r="L15" s="2" t="s">
        <v>25</v>
      </c>
      <c r="M15" s="4"/>
      <c r="N15" s="4"/>
      <c r="O15" s="4"/>
    </row>
    <row r="16" customFormat="false" ht="35.05" hidden="false" customHeight="false" outlineLevel="0" collapsed="false">
      <c r="A16" s="2" t="s">
        <v>115</v>
      </c>
      <c r="B16" s="2" t="s">
        <v>116</v>
      </c>
      <c r="C16" s="5" t="s">
        <v>103</v>
      </c>
      <c r="D16" s="4" t="s">
        <v>117</v>
      </c>
      <c r="E16" s="2" t="s">
        <v>105</v>
      </c>
      <c r="F16" s="4" t="s">
        <v>35</v>
      </c>
      <c r="G16" s="4" t="s">
        <v>118</v>
      </c>
      <c r="H16" s="4" t="s">
        <v>119</v>
      </c>
      <c r="I16" s="4" t="s">
        <v>120</v>
      </c>
      <c r="J16" s="4"/>
      <c r="K16" s="2" t="s">
        <v>24</v>
      </c>
      <c r="L16" s="2" t="s">
        <v>25</v>
      </c>
      <c r="M16" s="4"/>
      <c r="N16" s="4"/>
      <c r="O16" s="4"/>
    </row>
    <row r="17" customFormat="false" ht="35.05" hidden="false" customHeight="false" outlineLevel="0" collapsed="false">
      <c r="A17" s="2" t="s">
        <v>121</v>
      </c>
      <c r="B17" s="2" t="s">
        <v>122</v>
      </c>
      <c r="C17" s="5" t="s">
        <v>103</v>
      </c>
      <c r="D17" s="4" t="s">
        <v>123</v>
      </c>
      <c r="E17" s="2" t="s">
        <v>124</v>
      </c>
      <c r="F17" s="4" t="s">
        <v>35</v>
      </c>
      <c r="G17" s="4" t="s">
        <v>125</v>
      </c>
      <c r="H17" s="4" t="s">
        <v>126</v>
      </c>
      <c r="I17" s="4" t="s">
        <v>127</v>
      </c>
      <c r="J17" s="4"/>
      <c r="K17" s="2" t="s">
        <v>24</v>
      </c>
      <c r="L17" s="2" t="s">
        <v>25</v>
      </c>
      <c r="M17" s="4"/>
      <c r="N17" s="4"/>
      <c r="O17" s="4"/>
    </row>
    <row r="18" customFormat="false" ht="35.05" hidden="false" customHeight="false" outlineLevel="0" collapsed="false">
      <c r="A18" s="2" t="s">
        <v>128</v>
      </c>
      <c r="B18" s="2" t="s">
        <v>129</v>
      </c>
      <c r="C18" s="5" t="s">
        <v>103</v>
      </c>
      <c r="D18" s="4" t="s">
        <v>130</v>
      </c>
      <c r="E18" s="2" t="s">
        <v>124</v>
      </c>
      <c r="F18" s="4" t="s">
        <v>35</v>
      </c>
      <c r="G18" s="4" t="s">
        <v>131</v>
      </c>
      <c r="H18" s="4" t="s">
        <v>132</v>
      </c>
      <c r="I18" s="4" t="s">
        <v>133</v>
      </c>
      <c r="J18" s="4"/>
      <c r="K18" s="2" t="s">
        <v>24</v>
      </c>
      <c r="L18" s="2" t="s">
        <v>25</v>
      </c>
      <c r="M18" s="4"/>
      <c r="N18" s="4"/>
      <c r="O18" s="4"/>
    </row>
    <row r="19" customFormat="false" ht="35.05" hidden="false" customHeight="false" outlineLevel="0" collapsed="false">
      <c r="A19" s="2" t="s">
        <v>134</v>
      </c>
      <c r="B19" s="2" t="s">
        <v>135</v>
      </c>
      <c r="C19" s="5" t="s">
        <v>103</v>
      </c>
      <c r="D19" s="4" t="s">
        <v>136</v>
      </c>
      <c r="E19" s="2" t="s">
        <v>124</v>
      </c>
      <c r="F19" s="4" t="s">
        <v>35</v>
      </c>
      <c r="G19" s="4" t="s">
        <v>137</v>
      </c>
      <c r="H19" s="4" t="s">
        <v>138</v>
      </c>
      <c r="I19" s="4" t="s">
        <v>127</v>
      </c>
      <c r="J19" s="4"/>
      <c r="K19" s="2" t="s">
        <v>24</v>
      </c>
      <c r="L19" s="2" t="s">
        <v>25</v>
      </c>
      <c r="M19" s="4"/>
      <c r="N19" s="4"/>
      <c r="O19" s="4"/>
    </row>
    <row r="20" customFormat="false" ht="35.05" hidden="false" customHeight="false" outlineLevel="0" collapsed="false">
      <c r="A20" s="2" t="s">
        <v>139</v>
      </c>
      <c r="B20" s="2" t="s">
        <v>140</v>
      </c>
      <c r="C20" s="5" t="s">
        <v>103</v>
      </c>
      <c r="D20" s="4" t="s">
        <v>141</v>
      </c>
      <c r="E20" s="2" t="s">
        <v>142</v>
      </c>
      <c r="F20" s="4" t="s">
        <v>143</v>
      </c>
      <c r="G20" s="4" t="s">
        <v>144</v>
      </c>
      <c r="H20" s="4" t="s">
        <v>145</v>
      </c>
      <c r="I20" s="4" t="s">
        <v>146</v>
      </c>
      <c r="J20" s="4"/>
      <c r="K20" s="2" t="s">
        <v>24</v>
      </c>
      <c r="L20" s="2" t="s">
        <v>25</v>
      </c>
      <c r="M20" s="4"/>
      <c r="N20" s="4"/>
      <c r="O20" s="4"/>
    </row>
    <row r="21" customFormat="false" ht="35.05" hidden="false" customHeight="false" outlineLevel="0" collapsed="false">
      <c r="A21" s="2" t="s">
        <v>147</v>
      </c>
      <c r="B21" s="2" t="s">
        <v>148</v>
      </c>
      <c r="C21" s="5" t="s">
        <v>103</v>
      </c>
      <c r="D21" s="4" t="s">
        <v>149</v>
      </c>
      <c r="E21" s="2" t="s">
        <v>142</v>
      </c>
      <c r="F21" s="4" t="s">
        <v>143</v>
      </c>
      <c r="G21" s="4" t="s">
        <v>150</v>
      </c>
      <c r="H21" s="4" t="s">
        <v>145</v>
      </c>
      <c r="I21" s="4" t="s">
        <v>151</v>
      </c>
      <c r="J21" s="4"/>
      <c r="K21" s="2" t="s">
        <v>24</v>
      </c>
      <c r="L21" s="2" t="s">
        <v>39</v>
      </c>
      <c r="M21" s="4"/>
      <c r="N21" s="4"/>
      <c r="O21" s="4"/>
    </row>
    <row r="22" customFormat="false" ht="57.45" hidden="false" customHeight="false" outlineLevel="0" collapsed="false">
      <c r="A22" s="2" t="s">
        <v>152</v>
      </c>
      <c r="B22" s="2" t="s">
        <v>153</v>
      </c>
      <c r="C22" s="5" t="s">
        <v>103</v>
      </c>
      <c r="D22" s="4" t="s">
        <v>154</v>
      </c>
      <c r="E22" s="2" t="s">
        <v>155</v>
      </c>
      <c r="F22" s="4" t="s">
        <v>35</v>
      </c>
      <c r="G22" s="4" t="s">
        <v>156</v>
      </c>
      <c r="H22" s="4" t="s">
        <v>157</v>
      </c>
      <c r="I22" s="4" t="s">
        <v>158</v>
      </c>
      <c r="J22" s="4"/>
      <c r="K22" s="2" t="s">
        <v>24</v>
      </c>
      <c r="L22" s="2" t="s">
        <v>39</v>
      </c>
      <c r="M22" s="4"/>
      <c r="N22" s="4"/>
      <c r="O22" s="4"/>
    </row>
    <row r="23" customFormat="false" ht="35.05" hidden="false" customHeight="false" outlineLevel="0" collapsed="false">
      <c r="A23" s="2" t="s">
        <v>159</v>
      </c>
      <c r="B23" s="2" t="s">
        <v>160</v>
      </c>
      <c r="C23" s="5" t="s">
        <v>103</v>
      </c>
      <c r="D23" s="4" t="s">
        <v>161</v>
      </c>
      <c r="E23" s="2" t="s">
        <v>105</v>
      </c>
      <c r="F23" s="4" t="s">
        <v>35</v>
      </c>
      <c r="G23" s="4" t="s">
        <v>162</v>
      </c>
      <c r="H23" s="4" t="s">
        <v>163</v>
      </c>
      <c r="I23" s="4" t="s">
        <v>164</v>
      </c>
      <c r="J23" s="4"/>
      <c r="K23" s="2" t="s">
        <v>24</v>
      </c>
      <c r="L23" s="2" t="s">
        <v>78</v>
      </c>
      <c r="M23" s="4"/>
      <c r="N23" s="4"/>
      <c r="O23" s="4"/>
    </row>
    <row r="24" customFormat="false" ht="35.05" hidden="false" customHeight="false" outlineLevel="0" collapsed="false">
      <c r="A24" s="2" t="s">
        <v>165</v>
      </c>
      <c r="B24" s="2" t="s">
        <v>166</v>
      </c>
      <c r="C24" s="5" t="s">
        <v>103</v>
      </c>
      <c r="D24" s="4" t="s">
        <v>167</v>
      </c>
      <c r="E24" s="2" t="s">
        <v>19</v>
      </c>
      <c r="F24" s="4" t="s">
        <v>168</v>
      </c>
      <c r="G24" s="4" t="s">
        <v>169</v>
      </c>
      <c r="H24" s="4" t="s">
        <v>170</v>
      </c>
      <c r="I24" s="4" t="s">
        <v>171</v>
      </c>
      <c r="J24" s="4"/>
      <c r="K24" s="2" t="s">
        <v>24</v>
      </c>
      <c r="L24" s="2" t="s">
        <v>25</v>
      </c>
      <c r="M24" s="4"/>
      <c r="N24" s="4"/>
      <c r="O24" s="4"/>
    </row>
    <row r="25" customFormat="false" ht="35.05" hidden="false" customHeight="false" outlineLevel="0" collapsed="false">
      <c r="A25" s="2" t="s">
        <v>172</v>
      </c>
      <c r="B25" s="2" t="s">
        <v>173</v>
      </c>
      <c r="C25" s="5" t="s">
        <v>103</v>
      </c>
      <c r="D25" s="4" t="s">
        <v>174</v>
      </c>
      <c r="E25" s="2" t="s">
        <v>175</v>
      </c>
      <c r="F25" s="4" t="s">
        <v>35</v>
      </c>
      <c r="G25" s="4" t="s">
        <v>176</v>
      </c>
      <c r="H25" s="4" t="s">
        <v>177</v>
      </c>
      <c r="I25" s="4" t="s">
        <v>178</v>
      </c>
      <c r="J25" s="4"/>
      <c r="K25" s="2" t="s">
        <v>24</v>
      </c>
      <c r="L25" s="2" t="s">
        <v>25</v>
      </c>
      <c r="M25" s="4"/>
      <c r="N25" s="4"/>
      <c r="O25" s="4"/>
    </row>
    <row r="26" customFormat="false" ht="35.05" hidden="false" customHeight="false" outlineLevel="0" collapsed="false">
      <c r="A26" s="2" t="s">
        <v>179</v>
      </c>
      <c r="B26" s="2" t="s">
        <v>180</v>
      </c>
      <c r="C26" s="5" t="s">
        <v>103</v>
      </c>
      <c r="D26" s="4" t="s">
        <v>181</v>
      </c>
      <c r="E26" s="2" t="s">
        <v>182</v>
      </c>
      <c r="F26" s="4" t="s">
        <v>90</v>
      </c>
      <c r="G26" s="4" t="s">
        <v>183</v>
      </c>
      <c r="H26" s="4" t="s">
        <v>184</v>
      </c>
      <c r="I26" s="4" t="s">
        <v>185</v>
      </c>
      <c r="J26" s="4"/>
      <c r="K26" s="2" t="s">
        <v>24</v>
      </c>
      <c r="L26" s="2" t="s">
        <v>25</v>
      </c>
      <c r="M26" s="4"/>
      <c r="N26" s="4"/>
      <c r="O26" s="4"/>
    </row>
    <row r="27" customFormat="false" ht="35.05" hidden="false" customHeight="false" outlineLevel="0" collapsed="false">
      <c r="A27" s="2" t="s">
        <v>186</v>
      </c>
      <c r="B27" s="2" t="s">
        <v>187</v>
      </c>
      <c r="C27" s="5" t="s">
        <v>103</v>
      </c>
      <c r="D27" s="4" t="s">
        <v>188</v>
      </c>
      <c r="E27" s="2" t="s">
        <v>182</v>
      </c>
      <c r="F27" s="4" t="s">
        <v>90</v>
      </c>
      <c r="G27" s="4" t="s">
        <v>189</v>
      </c>
      <c r="H27" s="4" t="s">
        <v>190</v>
      </c>
      <c r="I27" s="4" t="s">
        <v>191</v>
      </c>
      <c r="J27" s="4"/>
      <c r="K27" s="2" t="s">
        <v>24</v>
      </c>
      <c r="L27" s="2" t="s">
        <v>25</v>
      </c>
      <c r="M27" s="4"/>
      <c r="N27" s="4"/>
      <c r="O27" s="4"/>
    </row>
    <row r="28" customFormat="false" ht="35.05" hidden="false" customHeight="false" outlineLevel="0" collapsed="false">
      <c r="A28" s="2" t="s">
        <v>192</v>
      </c>
      <c r="B28" s="2" t="s">
        <v>193</v>
      </c>
      <c r="C28" s="5" t="s">
        <v>103</v>
      </c>
      <c r="D28" s="4" t="s">
        <v>194</v>
      </c>
      <c r="E28" s="2" t="s">
        <v>155</v>
      </c>
      <c r="F28" s="4" t="s">
        <v>35</v>
      </c>
      <c r="G28" s="4" t="s">
        <v>195</v>
      </c>
      <c r="H28" s="4" t="s">
        <v>196</v>
      </c>
      <c r="I28" s="4" t="s">
        <v>197</v>
      </c>
      <c r="J28" s="4"/>
      <c r="K28" s="2" t="s">
        <v>24</v>
      </c>
      <c r="L28" s="2" t="s">
        <v>25</v>
      </c>
      <c r="M28" s="4"/>
      <c r="N28" s="4"/>
      <c r="O28" s="4"/>
    </row>
    <row r="29" customFormat="false" ht="35.05" hidden="false" customHeight="false" outlineLevel="0" collapsed="false">
      <c r="A29" s="2" t="s">
        <v>198</v>
      </c>
      <c r="B29" s="2" t="s">
        <v>199</v>
      </c>
      <c r="C29" s="5" t="s">
        <v>103</v>
      </c>
      <c r="D29" s="4" t="s">
        <v>200</v>
      </c>
      <c r="E29" s="2" t="s">
        <v>155</v>
      </c>
      <c r="F29" s="4" t="s">
        <v>35</v>
      </c>
      <c r="G29" s="4" t="s">
        <v>201</v>
      </c>
      <c r="H29" s="4" t="s">
        <v>202</v>
      </c>
      <c r="I29" s="4" t="s">
        <v>203</v>
      </c>
      <c r="J29" s="4"/>
      <c r="K29" s="2" t="s">
        <v>24</v>
      </c>
      <c r="L29" s="2" t="s">
        <v>25</v>
      </c>
      <c r="M29" s="4"/>
      <c r="N29" s="4"/>
      <c r="O29" s="4"/>
    </row>
    <row r="30" customFormat="false" ht="35.05" hidden="false" customHeight="false" outlineLevel="0" collapsed="false">
      <c r="A30" s="2" t="s">
        <v>204</v>
      </c>
      <c r="B30" s="2" t="s">
        <v>205</v>
      </c>
      <c r="C30" s="5" t="s">
        <v>103</v>
      </c>
      <c r="D30" s="4" t="s">
        <v>206</v>
      </c>
      <c r="E30" s="2" t="s">
        <v>207</v>
      </c>
      <c r="F30" s="4" t="s">
        <v>208</v>
      </c>
      <c r="G30" s="4" t="s">
        <v>209</v>
      </c>
      <c r="H30" s="4" t="s">
        <v>22</v>
      </c>
      <c r="I30" s="4" t="s">
        <v>210</v>
      </c>
      <c r="J30" s="4"/>
      <c r="K30" s="2" t="s">
        <v>24</v>
      </c>
      <c r="L30" s="2" t="s">
        <v>25</v>
      </c>
      <c r="M30" s="4"/>
      <c r="N30" s="4"/>
      <c r="O30" s="4"/>
    </row>
    <row r="31" customFormat="false" ht="35.05" hidden="false" customHeight="false" outlineLevel="0" collapsed="false">
      <c r="A31" s="2" t="s">
        <v>211</v>
      </c>
      <c r="B31" s="2" t="s">
        <v>212</v>
      </c>
      <c r="C31" s="5" t="s">
        <v>103</v>
      </c>
      <c r="D31" s="4" t="s">
        <v>213</v>
      </c>
      <c r="E31" s="2" t="s">
        <v>155</v>
      </c>
      <c r="F31" s="4" t="s">
        <v>35</v>
      </c>
      <c r="G31" s="4" t="s">
        <v>214</v>
      </c>
      <c r="H31" s="4" t="s">
        <v>215</v>
      </c>
      <c r="I31" s="4" t="s">
        <v>216</v>
      </c>
      <c r="J31" s="4"/>
      <c r="K31" s="2" t="s">
        <v>24</v>
      </c>
      <c r="L31" s="2" t="s">
        <v>39</v>
      </c>
      <c r="M31" s="4"/>
      <c r="N31" s="4"/>
      <c r="O31" s="4"/>
    </row>
    <row r="32" customFormat="false" ht="35.05" hidden="false" customHeight="false" outlineLevel="0" collapsed="false">
      <c r="A32" s="2" t="s">
        <v>217</v>
      </c>
      <c r="B32" s="2" t="s">
        <v>218</v>
      </c>
      <c r="C32" s="6" t="s">
        <v>219</v>
      </c>
      <c r="D32" s="4" t="s">
        <v>220</v>
      </c>
      <c r="E32" s="2" t="s">
        <v>124</v>
      </c>
      <c r="F32" s="4" t="s">
        <v>35</v>
      </c>
      <c r="G32" s="4" t="s">
        <v>221</v>
      </c>
      <c r="H32" s="4" t="s">
        <v>222</v>
      </c>
      <c r="I32" s="4" t="s">
        <v>223</v>
      </c>
      <c r="J32" s="4"/>
      <c r="K32" s="2" t="s">
        <v>24</v>
      </c>
      <c r="L32" s="2" t="s">
        <v>39</v>
      </c>
      <c r="M32" s="4"/>
      <c r="N32" s="4"/>
      <c r="O32" s="4"/>
    </row>
    <row r="33" customFormat="false" ht="46.25" hidden="false" customHeight="false" outlineLevel="0" collapsed="false">
      <c r="A33" s="2" t="s">
        <v>224</v>
      </c>
      <c r="B33" s="2" t="s">
        <v>225</v>
      </c>
      <c r="C33" s="6" t="s">
        <v>219</v>
      </c>
      <c r="D33" s="4" t="s">
        <v>226</v>
      </c>
      <c r="E33" s="2" t="s">
        <v>175</v>
      </c>
      <c r="F33" s="4" t="s">
        <v>35</v>
      </c>
      <c r="G33" s="4" t="s">
        <v>227</v>
      </c>
      <c r="H33" s="4" t="s">
        <v>228</v>
      </c>
      <c r="I33" s="4" t="s">
        <v>229</v>
      </c>
      <c r="J33" s="4"/>
      <c r="K33" s="2" t="s">
        <v>24</v>
      </c>
      <c r="L33" s="2" t="s">
        <v>39</v>
      </c>
      <c r="M33" s="4"/>
      <c r="N33" s="4"/>
      <c r="O33" s="4"/>
    </row>
    <row r="34" customFormat="false" ht="35.05" hidden="false" customHeight="false" outlineLevel="0" collapsed="false">
      <c r="A34" s="2" t="s">
        <v>230</v>
      </c>
      <c r="B34" s="2" t="s">
        <v>231</v>
      </c>
      <c r="C34" s="6" t="s">
        <v>219</v>
      </c>
      <c r="D34" s="4" t="s">
        <v>232</v>
      </c>
      <c r="E34" s="2" t="s">
        <v>105</v>
      </c>
      <c r="F34" s="4" t="s">
        <v>35</v>
      </c>
      <c r="G34" s="4" t="s">
        <v>233</v>
      </c>
      <c r="H34" s="4" t="s">
        <v>234</v>
      </c>
      <c r="I34" s="4" t="s">
        <v>235</v>
      </c>
      <c r="J34" s="4"/>
      <c r="K34" s="2" t="s">
        <v>24</v>
      </c>
      <c r="L34" s="2" t="s">
        <v>39</v>
      </c>
      <c r="M34" s="4"/>
      <c r="N34" s="4"/>
      <c r="O34" s="4"/>
    </row>
    <row r="35" customFormat="false" ht="46.25" hidden="false" customHeight="false" outlineLevel="0" collapsed="false">
      <c r="A35" s="2" t="s">
        <v>236</v>
      </c>
      <c r="B35" s="2" t="s">
        <v>237</v>
      </c>
      <c r="C35" s="6" t="s">
        <v>219</v>
      </c>
      <c r="D35" s="4" t="s">
        <v>238</v>
      </c>
      <c r="E35" s="2" t="s">
        <v>105</v>
      </c>
      <c r="F35" s="4" t="s">
        <v>35</v>
      </c>
      <c r="G35" s="4" t="s">
        <v>239</v>
      </c>
      <c r="H35" s="4" t="s">
        <v>240</v>
      </c>
      <c r="I35" s="4" t="s">
        <v>241</v>
      </c>
      <c r="J35" s="4"/>
      <c r="K35" s="2" t="s">
        <v>24</v>
      </c>
      <c r="L35" s="2" t="s">
        <v>78</v>
      </c>
      <c r="M35" s="4"/>
      <c r="N35" s="4"/>
      <c r="O35" s="4"/>
    </row>
    <row r="36" customFormat="false" ht="46.25" hidden="false" customHeight="false" outlineLevel="0" collapsed="false">
      <c r="A36" s="2" t="s">
        <v>242</v>
      </c>
      <c r="B36" s="2" t="s">
        <v>243</v>
      </c>
      <c r="C36" s="6" t="s">
        <v>219</v>
      </c>
      <c r="D36" s="4" t="s">
        <v>244</v>
      </c>
      <c r="E36" s="2" t="s">
        <v>105</v>
      </c>
      <c r="F36" s="4" t="s">
        <v>245</v>
      </c>
      <c r="G36" s="4" t="s">
        <v>246</v>
      </c>
      <c r="H36" s="4" t="s">
        <v>247</v>
      </c>
      <c r="I36" s="4" t="s">
        <v>248</v>
      </c>
      <c r="J36" s="4"/>
      <c r="K36" s="2" t="s">
        <v>24</v>
      </c>
      <c r="L36" s="2" t="s">
        <v>78</v>
      </c>
      <c r="M36" s="4"/>
      <c r="N36" s="4"/>
      <c r="O36" s="4"/>
    </row>
    <row r="37" customFormat="false" ht="35.05" hidden="false" customHeight="false" outlineLevel="0" collapsed="false">
      <c r="A37" s="2" t="s">
        <v>249</v>
      </c>
      <c r="B37" s="2" t="s">
        <v>250</v>
      </c>
      <c r="C37" s="6" t="s">
        <v>219</v>
      </c>
      <c r="D37" s="4" t="s">
        <v>251</v>
      </c>
      <c r="E37" s="2" t="s">
        <v>19</v>
      </c>
      <c r="F37" s="4" t="s">
        <v>252</v>
      </c>
      <c r="G37" s="4" t="s">
        <v>253</v>
      </c>
      <c r="H37" s="4" t="s">
        <v>22</v>
      </c>
      <c r="I37" s="4" t="s">
        <v>254</v>
      </c>
      <c r="J37" s="4"/>
      <c r="K37" s="2" t="s">
        <v>24</v>
      </c>
      <c r="L37" s="2" t="s">
        <v>39</v>
      </c>
      <c r="M37" s="4"/>
      <c r="N37" s="4"/>
      <c r="O37" s="4"/>
    </row>
    <row r="38" customFormat="false" ht="35.05" hidden="false" customHeight="false" outlineLevel="0" collapsed="false">
      <c r="A38" s="2" t="s">
        <v>255</v>
      </c>
      <c r="B38" s="2" t="s">
        <v>256</v>
      </c>
      <c r="C38" s="6" t="s">
        <v>219</v>
      </c>
      <c r="D38" s="4" t="s">
        <v>257</v>
      </c>
      <c r="E38" s="2" t="s">
        <v>258</v>
      </c>
      <c r="F38" s="4" t="s">
        <v>259</v>
      </c>
      <c r="G38" s="4" t="s">
        <v>260</v>
      </c>
      <c r="H38" s="4" t="s">
        <v>261</v>
      </c>
      <c r="I38" s="4" t="s">
        <v>262</v>
      </c>
      <c r="J38" s="4"/>
      <c r="K38" s="2" t="s">
        <v>24</v>
      </c>
      <c r="L38" s="2" t="s">
        <v>78</v>
      </c>
      <c r="M38" s="4"/>
      <c r="N38" s="4"/>
      <c r="O38" s="4"/>
    </row>
    <row r="39" customFormat="false" ht="35.05" hidden="false" customHeight="false" outlineLevel="0" collapsed="false">
      <c r="A39" s="2" t="s">
        <v>263</v>
      </c>
      <c r="B39" s="2" t="s">
        <v>264</v>
      </c>
      <c r="C39" s="6" t="s">
        <v>219</v>
      </c>
      <c r="D39" s="4" t="s">
        <v>265</v>
      </c>
      <c r="E39" s="2" t="s">
        <v>97</v>
      </c>
      <c r="F39" s="4" t="s">
        <v>266</v>
      </c>
      <c r="G39" s="4" t="s">
        <v>267</v>
      </c>
      <c r="H39" s="4" t="s">
        <v>22</v>
      </c>
      <c r="I39" s="4" t="s">
        <v>268</v>
      </c>
      <c r="J39" s="4"/>
      <c r="K39" s="2" t="s">
        <v>24</v>
      </c>
      <c r="L39" s="2" t="s">
        <v>39</v>
      </c>
      <c r="M39" s="4"/>
      <c r="N39" s="4"/>
      <c r="O39" s="4"/>
    </row>
    <row r="40" customFormat="false" ht="35.05" hidden="false" customHeight="false" outlineLevel="0" collapsed="false">
      <c r="A40" s="2" t="s">
        <v>269</v>
      </c>
      <c r="B40" s="2" t="s">
        <v>270</v>
      </c>
      <c r="C40" s="6" t="s">
        <v>219</v>
      </c>
      <c r="D40" s="4" t="s">
        <v>271</v>
      </c>
      <c r="E40" s="2" t="s">
        <v>50</v>
      </c>
      <c r="F40" s="4" t="s">
        <v>272</v>
      </c>
      <c r="G40" s="4" t="s">
        <v>273</v>
      </c>
      <c r="H40" s="4" t="s">
        <v>53</v>
      </c>
      <c r="I40" s="4" t="s">
        <v>274</v>
      </c>
      <c r="J40" s="4"/>
      <c r="K40" s="2" t="s">
        <v>24</v>
      </c>
      <c r="L40" s="2" t="s">
        <v>25</v>
      </c>
      <c r="M40" s="4"/>
      <c r="N40" s="4"/>
      <c r="O40" s="4"/>
    </row>
    <row r="41" customFormat="false" ht="46.25" hidden="false" customHeight="false" outlineLevel="0" collapsed="false">
      <c r="A41" s="2" t="s">
        <v>275</v>
      </c>
      <c r="B41" s="2" t="s">
        <v>276</v>
      </c>
      <c r="C41" s="6" t="s">
        <v>219</v>
      </c>
      <c r="D41" s="4" t="s">
        <v>277</v>
      </c>
      <c r="E41" s="2" t="s">
        <v>19</v>
      </c>
      <c r="F41" s="4" t="s">
        <v>252</v>
      </c>
      <c r="G41" s="4" t="s">
        <v>278</v>
      </c>
      <c r="H41" s="4" t="s">
        <v>22</v>
      </c>
      <c r="I41" s="4" t="s">
        <v>279</v>
      </c>
      <c r="J41" s="4"/>
      <c r="K41" s="2" t="s">
        <v>24</v>
      </c>
      <c r="L41" s="2" t="s">
        <v>78</v>
      </c>
      <c r="M41" s="4"/>
      <c r="N41" s="4"/>
      <c r="O41" s="4"/>
    </row>
    <row r="42" customFormat="false" ht="46.25" hidden="false" customHeight="false" outlineLevel="0" collapsed="false">
      <c r="A42" s="2" t="s">
        <v>280</v>
      </c>
      <c r="B42" s="2" t="s">
        <v>281</v>
      </c>
      <c r="C42" s="6" t="s">
        <v>219</v>
      </c>
      <c r="D42" s="4" t="s">
        <v>282</v>
      </c>
      <c r="E42" s="2" t="s">
        <v>105</v>
      </c>
      <c r="F42" s="4" t="s">
        <v>283</v>
      </c>
      <c r="G42" s="4" t="s">
        <v>284</v>
      </c>
      <c r="H42" s="4" t="s">
        <v>285</v>
      </c>
      <c r="I42" s="4" t="s">
        <v>286</v>
      </c>
      <c r="J42" s="4"/>
      <c r="K42" s="2" t="s">
        <v>24</v>
      </c>
      <c r="L42" s="2" t="s">
        <v>78</v>
      </c>
      <c r="M42" s="4"/>
      <c r="N42" s="4"/>
      <c r="O42" s="4"/>
    </row>
    <row r="43" customFormat="false" ht="35.05" hidden="false" customHeight="false" outlineLevel="0" collapsed="false">
      <c r="A43" s="2" t="s">
        <v>287</v>
      </c>
      <c r="B43" s="2" t="s">
        <v>288</v>
      </c>
      <c r="C43" s="6" t="s">
        <v>219</v>
      </c>
      <c r="D43" s="4" t="s">
        <v>289</v>
      </c>
      <c r="E43" s="2" t="s">
        <v>290</v>
      </c>
      <c r="F43" s="4" t="s">
        <v>90</v>
      </c>
      <c r="G43" s="4" t="s">
        <v>291</v>
      </c>
      <c r="H43" s="4" t="s">
        <v>292</v>
      </c>
      <c r="I43" s="4" t="s">
        <v>293</v>
      </c>
      <c r="J43" s="4"/>
      <c r="K43" s="2" t="s">
        <v>24</v>
      </c>
      <c r="L43" s="2" t="s">
        <v>39</v>
      </c>
      <c r="M43" s="4"/>
      <c r="N43" s="4"/>
      <c r="O43" s="4"/>
    </row>
    <row r="44" customFormat="false" ht="46.25" hidden="false" customHeight="false" outlineLevel="0" collapsed="false">
      <c r="A44" s="2" t="s">
        <v>294</v>
      </c>
      <c r="B44" s="2" t="s">
        <v>295</v>
      </c>
      <c r="C44" s="6" t="s">
        <v>219</v>
      </c>
      <c r="D44" s="4" t="s">
        <v>296</v>
      </c>
      <c r="E44" s="2" t="s">
        <v>89</v>
      </c>
      <c r="F44" s="4" t="s">
        <v>90</v>
      </c>
      <c r="G44" s="4" t="s">
        <v>297</v>
      </c>
      <c r="H44" s="4" t="s">
        <v>298</v>
      </c>
      <c r="I44" s="4" t="s">
        <v>299</v>
      </c>
      <c r="J44" s="4"/>
      <c r="K44" s="2" t="s">
        <v>24</v>
      </c>
      <c r="L44" s="2" t="s">
        <v>78</v>
      </c>
      <c r="M44" s="4"/>
      <c r="N44" s="4"/>
      <c r="O44" s="4"/>
    </row>
    <row r="45" customFormat="false" ht="35.05" hidden="false" customHeight="false" outlineLevel="0" collapsed="false">
      <c r="A45" s="2" t="s">
        <v>300</v>
      </c>
      <c r="B45" s="2" t="s">
        <v>301</v>
      </c>
      <c r="C45" s="6" t="s">
        <v>219</v>
      </c>
      <c r="D45" s="4" t="s">
        <v>302</v>
      </c>
      <c r="E45" s="2" t="s">
        <v>105</v>
      </c>
      <c r="F45" s="4" t="s">
        <v>35</v>
      </c>
      <c r="G45" s="4" t="s">
        <v>303</v>
      </c>
      <c r="H45" s="4" t="s">
        <v>304</v>
      </c>
      <c r="I45" s="4" t="s">
        <v>305</v>
      </c>
      <c r="J45" s="4"/>
      <c r="K45" s="2" t="s">
        <v>24</v>
      </c>
      <c r="L45" s="2" t="s">
        <v>78</v>
      </c>
      <c r="M45" s="4"/>
      <c r="N45" s="4"/>
      <c r="O45" s="4"/>
    </row>
    <row r="46" customFormat="false" ht="46.25" hidden="false" customHeight="false" outlineLevel="0" collapsed="false">
      <c r="A46" s="2" t="s">
        <v>306</v>
      </c>
      <c r="B46" s="2" t="s">
        <v>307</v>
      </c>
      <c r="C46" s="6" t="s">
        <v>219</v>
      </c>
      <c r="D46" s="4" t="s">
        <v>308</v>
      </c>
      <c r="E46" s="2" t="s">
        <v>207</v>
      </c>
      <c r="F46" s="4" t="s">
        <v>309</v>
      </c>
      <c r="G46" s="4" t="s">
        <v>310</v>
      </c>
      <c r="H46" s="4" t="s">
        <v>22</v>
      </c>
      <c r="I46" s="4" t="s">
        <v>311</v>
      </c>
      <c r="J46" s="4"/>
      <c r="K46" s="2" t="s">
        <v>24</v>
      </c>
      <c r="L46" s="2" t="s">
        <v>39</v>
      </c>
      <c r="M46" s="4"/>
      <c r="N46" s="4"/>
      <c r="O46" s="4"/>
    </row>
  </sheetData>
  <autoFilter ref="A1:O46"/>
  <dataValidations count="1">
    <dataValidation allowBlank="true" errorStyle="stop" operator="between" showDropDown="false" showErrorMessage="false" showInputMessage="false" sqref="K2:K46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312</v>
      </c>
      <c r="B1" s="7"/>
      <c r="C1" s="7"/>
    </row>
    <row r="3" customFormat="false" ht="15" hidden="false" customHeight="false" outlineLevel="0" collapsed="false">
      <c r="A3" s="8" t="s">
        <v>2</v>
      </c>
      <c r="B3" s="9" t="s">
        <v>313</v>
      </c>
    </row>
    <row r="4" customFormat="false" ht="15" hidden="false" customHeight="false" outlineLevel="0" collapsed="false">
      <c r="A4" s="9" t="s">
        <v>17</v>
      </c>
      <c r="B4" s="9" t="n">
        <f aca="false">COUNTIF(Login_Auth_Test_Cases!C2:C46,"Positive")</f>
        <v>12</v>
      </c>
    </row>
    <row r="5" customFormat="false" ht="15" hidden="false" customHeight="false" outlineLevel="0" collapsed="false">
      <c r="A5" s="9" t="s">
        <v>103</v>
      </c>
      <c r="B5" s="9" t="n">
        <f aca="false">COUNTIF(Login_Auth_Test_Cases!C2:C46,"Negative")</f>
        <v>18</v>
      </c>
    </row>
    <row r="6" customFormat="false" ht="15" hidden="false" customHeight="false" outlineLevel="0" collapsed="false">
      <c r="A6" s="9" t="s">
        <v>219</v>
      </c>
      <c r="B6" s="9" t="n">
        <f aca="false">COUNTIF(Login_Auth_Test_Cases!C2:C46,"Edge Case")</f>
        <v>15</v>
      </c>
    </row>
    <row r="7" customFormat="false" ht="15" hidden="false" customHeight="false" outlineLevel="0" collapsed="false">
      <c r="A7" s="9" t="s">
        <v>314</v>
      </c>
      <c r="B7" s="9" t="n">
        <f aca="false">COUNTA(Login_Auth_Test_Cases!A2:A46)</f>
        <v>45</v>
      </c>
    </row>
    <row r="9" customFormat="false" ht="15" hidden="false" customHeight="false" outlineLevel="0" collapsed="false">
      <c r="A9" s="10" t="s">
        <v>315</v>
      </c>
    </row>
    <row r="10" customFormat="false" ht="15" hidden="false" customHeight="false" outlineLevel="0" collapsed="false">
      <c r="A10" s="8" t="s">
        <v>10</v>
      </c>
      <c r="B10" s="9" t="s">
        <v>313</v>
      </c>
    </row>
    <row r="11" customFormat="false" ht="15" hidden="false" customHeight="false" outlineLevel="0" collapsed="false">
      <c r="A11" s="9" t="s">
        <v>316</v>
      </c>
      <c r="B11" s="9" t="n">
        <f aca="false">COUNTIF(Login_Auth_Test_Cases!K2:K46,"Pass")</f>
        <v>0</v>
      </c>
    </row>
    <row r="12" customFormat="false" ht="15" hidden="false" customHeight="false" outlineLevel="0" collapsed="false">
      <c r="A12" s="9" t="s">
        <v>317</v>
      </c>
      <c r="B12" s="9" t="n">
        <f aca="false">COUNTIF(Login_Auth_Test_Cases!K2:K46,"Fail")</f>
        <v>0</v>
      </c>
    </row>
    <row r="13" customFormat="false" ht="15" hidden="false" customHeight="false" outlineLevel="0" collapsed="false">
      <c r="A13" s="9" t="s">
        <v>318</v>
      </c>
      <c r="B13" s="9" t="n">
        <f aca="false">COUNTIF(Login_Auth_Test_Cases!K2:K46,"Blocked")</f>
        <v>0</v>
      </c>
    </row>
    <row r="14" customFormat="false" ht="15" hidden="false" customHeight="false" outlineLevel="0" collapsed="false">
      <c r="A14" s="9" t="s">
        <v>24</v>
      </c>
      <c r="B14" s="9" t="n">
        <f aca="false">COUNTIF(Login_Auth_Test_Cases!K2:K46,"Not Executed")</f>
        <v>45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2026-07-18T12:14:45Z</dcterms:created>
  <dc:creator>openpyxl</dc:creator>
  <dc:description/>
  <dc:language>en-US</dc:language>
  <cp:lastModifiedBy/>
  <dcterms:modified xsi:type="dcterms:W3CDTF">2026-07-18T12:14:45Z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
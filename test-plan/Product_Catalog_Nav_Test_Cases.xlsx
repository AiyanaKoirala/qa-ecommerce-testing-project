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_Nav_Test_Cases" sheetId="1" state="visible" r:id="rId3"/>
    <sheet name="Summary" sheetId="2" state="visible" r:id="rId4"/>
  </sheets>
  <definedNames>
    <definedName function="false" hidden="true" localSheetId="0" name="_xlnm._FilterDatabase" vbProcedure="false">Catalog_Nav_Test_Cases!$A$1:$O$29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<sst xmlns="http://schemas.openxmlformats.org/spreadsheetml/2006/main" count="337" uniqueCount="207">
  <si>
    <t xml:space="preserve">Test Case ID</t>
  </si>
  <si>
    <t xml:space="preserve">Scenario ID</t>
  </si>
  <si>
    <t xml:space="preserve">Category</t>
  </si>
  <si>
    <t xml:space="preserve">Test Case Title</t>
  </si>
  <si>
    <t xml:space="preserve">Related Req ID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</si>
  <si>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</si>
  <si>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</si>
  <si>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</si>
  <si>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</si>
  <si>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</si>
  <si>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</si>
  <si>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</si>
  <si>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Executed By</t>
  </si>
  <si>
    <t xml:space="preserve">Date</t>
  </si>
  <si>
    <t xml:space="preserve">Defect ID / Remarks</t>
  </si>
  <si>
    <t xml:space="preserve">TC-CAT-001</t>
  </si>
  <si>
    <t xml:space="preserve">TS-CAT-001</t>
  </si>
  <si>
    <t xml:space="preserve">Positive</t>
  </si>
  <si>
    <t xml:space="preserve">All products display name, price, image</t>
  </si>
  <si>
    <t xml:space="preserve">FR-07</t>
  </si>
  <si>
    <t xml:space="preserve">User is logged in and on Inventory page</t>
  </si>
  <si>
    <t xml:space="preserve">1. Load the Inventory page
2. Visually inspect each product card</t>
  </si>
  <si>
    <t xml:space="preserve">N/A (all 6 SauceDemo products)</t>
  </si>
  <si>
    <t xml:space="preserve">Every product shows a name, price, and non-broken image</t>
  </si>
  <si>
    <t xml:space="preserve">Not Executed</t>
  </si>
  <si>
    <t xml:space="preserve">High</t>
  </si>
  <si>
    <t xml:space="preserve">TC-CAT-002</t>
  </si>
  <si>
    <t xml:space="preserve">TS-CAT-002</t>
  </si>
  <si>
    <t xml:space="preserve">Sort products Name A-Z</t>
  </si>
  <si>
    <t xml:space="preserve">FR-08</t>
  </si>
  <si>
    <t xml:space="preserve">User is on Inventory page</t>
  </si>
  <si>
    <t xml:space="preserve">1. Open sort dropdown
2. Select 'Name (A to Z)'
3. Observe product order</t>
  </si>
  <si>
    <t xml:space="preserve">Sort option: Name (A to Z)</t>
  </si>
  <si>
    <t xml:space="preserve">Products are listed in ascending alphabetical order by name</t>
  </si>
  <si>
    <t xml:space="preserve">Medium</t>
  </si>
  <si>
    <t xml:space="preserve">TC-CAT-003</t>
  </si>
  <si>
    <t xml:space="preserve">TS-CAT-003</t>
  </si>
  <si>
    <t xml:space="preserve">Sort products Name Z-A</t>
  </si>
  <si>
    <t xml:space="preserve">1. Open sort dropdown
2. Select 'Name (Z to A)'
3. Observe product order</t>
  </si>
  <si>
    <t xml:space="preserve">Sort option: Name (Z to A)</t>
  </si>
  <si>
    <t xml:space="preserve">Products are listed in descending alphabetical order by name</t>
  </si>
  <si>
    <t xml:space="preserve">TC-CAT-004</t>
  </si>
  <si>
    <t xml:space="preserve">TS-CAT-004</t>
  </si>
  <si>
    <t xml:space="preserve">Sort products Price low-high</t>
  </si>
  <si>
    <t xml:space="preserve">1. Open sort dropdown
2. Select 'Price (low to high)'
3. Observe product order</t>
  </si>
  <si>
    <t xml:space="preserve">Sort option: Price (low to high)</t>
  </si>
  <si>
    <t xml:space="preserve">Products are listed in ascending order by price</t>
  </si>
  <si>
    <t xml:space="preserve">TC-CAT-005</t>
  </si>
  <si>
    <t xml:space="preserve">TS-CAT-005</t>
  </si>
  <si>
    <t xml:space="preserve">Sort products Price high-low</t>
  </si>
  <si>
    <t xml:space="preserve">1. Open sort dropdown
2. Select 'Price (high to low)'
3. Observe product order</t>
  </si>
  <si>
    <t xml:space="preserve">Sort option: Price (high to low)</t>
  </si>
  <si>
    <t xml:space="preserve">Products are listed in descending order by price</t>
  </si>
  <si>
    <t xml:space="preserve">TC-CAT-006</t>
  </si>
  <si>
    <t xml:space="preserve">TS-CAT-006</t>
  </si>
  <si>
    <t xml:space="preserve">Open product detail page</t>
  </si>
  <si>
    <t xml:space="preserve">FR-09</t>
  </si>
  <si>
    <t xml:space="preserve">1. Click a product's name or image</t>
  </si>
  <si>
    <t xml:space="preserve">Product: Sauce Labs Backpack</t>
  </si>
  <si>
    <t xml:space="preserve">Product detail page opens for the selected product</t>
  </si>
  <si>
    <t xml:space="preserve">TC-CAT-007</t>
  </si>
  <si>
    <t xml:space="preserve">TS-CAT-007</t>
  </si>
  <si>
    <t xml:space="preserve">Detail page matches listing page data</t>
  </si>
  <si>
    <t xml:space="preserve">1. Note name/price of a product on the listing page
2. Click into its detail page
3. Compare name/price/description</t>
  </si>
  <si>
    <t xml:space="preserve">Name and price on detail page exactly match the listing page; description is present</t>
  </si>
  <si>
    <t xml:space="preserve">TC-CAT-008</t>
  </si>
  <si>
    <t xml:space="preserve">TS-CAT-008</t>
  </si>
  <si>
    <t xml:space="preserve">Back to products navigation works</t>
  </si>
  <si>
    <t xml:space="preserve">FR-10</t>
  </si>
  <si>
    <t xml:space="preserve">User is on a product detail page</t>
  </si>
  <si>
    <t xml:space="preserve">1. Click 'Back to products' button</t>
  </si>
  <si>
    <t xml:space="preserve">N/A</t>
  </si>
  <si>
    <t xml:space="preserve">User is returned to the full Inventory product list</t>
  </si>
  <si>
    <t xml:space="preserve">Low</t>
  </si>
  <si>
    <t xml:space="preserve">TC-CAT-009</t>
  </si>
  <si>
    <t xml:space="preserve">TS-CAT-009</t>
  </si>
  <si>
    <t xml:space="preserve">Side menu opens via hamburger icon</t>
  </si>
  <si>
    <t xml:space="preserve">FR-11</t>
  </si>
  <si>
    <t xml:space="preserve">1. Click the hamburger menu icon (top-left)</t>
  </si>
  <si>
    <t xml:space="preserve">Side menu slides open showing navigation links</t>
  </si>
  <si>
    <t xml:space="preserve">TC-CAT-010</t>
  </si>
  <si>
    <t xml:space="preserve">TS-CAT-010</t>
  </si>
  <si>
    <t xml:space="preserve">Side menu shows all expected links</t>
  </si>
  <si>
    <t xml:space="preserve">Side menu is open</t>
  </si>
  <si>
    <t xml:space="preserve">1. Inspect the side menu contents</t>
  </si>
  <si>
    <t xml:space="preserve">Menu shows: All Items, About, Logout, Reset App State</t>
  </si>
  <si>
    <t xml:space="preserve">TC-CAT-011</t>
  </si>
  <si>
    <t xml:space="preserve">TS-CAT-011</t>
  </si>
  <si>
    <t xml:space="preserve">Side menu closes via X icon</t>
  </si>
  <si>
    <t xml:space="preserve">1. Click the 'X' close icon on the side menu</t>
  </si>
  <si>
    <t xml:space="preserve">Side menu closes; user remains on the same page with no navigation</t>
  </si>
  <si>
    <t xml:space="preserve">TC-CAT-012</t>
  </si>
  <si>
    <t xml:space="preserve">TS-CAT-012</t>
  </si>
  <si>
    <t xml:space="preserve">Reset App State clears cart, keeps login</t>
  </si>
  <si>
    <t xml:space="preserve">FR-12</t>
  </si>
  <si>
    <t xml:space="preserve">User is logged in with at least 1 item in cart</t>
  </si>
  <si>
    <t xml:space="preserve">1. Open side menu
2. Click 'Reset App State'
3. Observe cart badge and login status</t>
  </si>
  <si>
    <t xml:space="preserve">Cart contains 2 items before reset</t>
  </si>
  <si>
    <t xml:space="preserve">Cart badge count returns to 0; user remains logged in on the current page</t>
  </si>
  <si>
    <t xml:space="preserve">TC-CAT-013</t>
  </si>
  <si>
    <t xml:space="preserve">TS-CAT-013</t>
  </si>
  <si>
    <t xml:space="preserve">Sort order retained after visiting detail page</t>
  </si>
  <si>
    <t xml:space="preserve">FR-13</t>
  </si>
  <si>
    <t xml:space="preserve">User has applied a non-default sort (e.g. Price high-low)</t>
  </si>
  <si>
    <t xml:space="preserve">1. Apply 'Price (high to low)' sort
2. Open any product detail page
3. Click 'Back to products'</t>
  </si>
  <si>
    <t xml:space="preserve">Product list still reflects Price (high to low) order after returning</t>
  </si>
  <si>
    <t xml:space="preserve">TC-CAT-014</t>
  </si>
  <si>
    <t xml:space="preserve">TS-CAT-014</t>
  </si>
  <si>
    <t xml:space="preserve">Add to cart from detail page</t>
  </si>
  <si>
    <t xml:space="preserve">1. Click 'Add to Cart' button on the detail page
2. Observe cart badge</t>
  </si>
  <si>
    <t xml:space="preserve">Product: Sauce Labs Bike Light</t>
  </si>
  <si>
    <t xml:space="preserve">Cart badge count increases by 1; button changes to 'Remove'</t>
  </si>
  <si>
    <t xml:space="preserve">TC-CAT-015</t>
  </si>
  <si>
    <t xml:space="preserve">TS-CAT-015</t>
  </si>
  <si>
    <t xml:space="preserve">Negative</t>
  </si>
  <si>
    <t xml:space="preserve">No broken images in product list</t>
  </si>
  <si>
    <t xml:space="preserve">1. Load Inventory page
2. Inspect each product image element for load errors (DevTools Network tab)</t>
  </si>
  <si>
    <t xml:space="preserve">N/A (all products)</t>
  </si>
  <si>
    <t xml:space="preserve">All product images return HTTP 200 and render correctly; none show broken-image icon</t>
  </si>
  <si>
    <t xml:space="preserve">TC-CAT-016</t>
  </si>
  <si>
    <t xml:space="preserve">TS-CAT-016</t>
  </si>
  <si>
    <t xml:space="preserve">No duplicate product entries</t>
  </si>
  <si>
    <t xml:space="preserve">1. Load Inventory page
2. List all product names shown
3. Check for duplicates</t>
  </si>
  <si>
    <t xml:space="preserve">Each product appears exactly once in the list</t>
  </si>
  <si>
    <t xml:space="preserve">TC-CAT-017</t>
  </si>
  <si>
    <t xml:space="preserve">TS-CAT-017</t>
  </si>
  <si>
    <t xml:space="preserve">Sorting does not drop any products</t>
  </si>
  <si>
    <t xml:space="preserve">User is on Inventory page with 6 products visible</t>
  </si>
  <si>
    <t xml:space="preserve">1. Count products before sorting
2. Apply each sort option in turn
3. Count products after each sort</t>
  </si>
  <si>
    <t xml:space="preserve">All 4 sort options</t>
  </si>
  <si>
    <t xml:space="preserve">Product count remains identical (6) regardless of which sort option is applied</t>
  </si>
  <si>
    <t xml:space="preserve">TC-CAT-018</t>
  </si>
  <si>
    <t xml:space="preserve">TS-CAT-018</t>
  </si>
  <si>
    <t xml:space="preserve">Invalid product ID via URL is handled</t>
  </si>
  <si>
    <t xml:space="preserve">User is logged in</t>
  </si>
  <si>
    <t xml:space="preserve">1. Manually navigate to /inventory-item.html?id=9999 (non-existent ID)</t>
  </si>
  <si>
    <t xml:space="preserve">URL with invalid product id=9999</t>
  </si>
  <si>
    <t xml:space="preserve">System shows an empty/error state or redirects; does not crash or show corrupted data</t>
  </si>
  <si>
    <t xml:space="preserve">TC-CAT-019</t>
  </si>
  <si>
    <t xml:space="preserve">TS-CAT-019</t>
  </si>
  <si>
    <t xml:space="preserve">Reset App State does not log user out</t>
  </si>
  <si>
    <t xml:space="preserve">User is logged in with items in cart</t>
  </si>
  <si>
    <t xml:space="preserve">1. Click 'Reset App State'
2. Check login status and current URL</t>
  </si>
  <si>
    <t xml:space="preserve">User remains on Inventory page, still authenticated; not redirected to Login page</t>
  </si>
  <si>
    <t xml:space="preserve">TC-CAT-020</t>
  </si>
  <si>
    <t xml:space="preserve">TS-CAT-020</t>
  </si>
  <si>
    <t xml:space="preserve">Side menu links do not silently fail</t>
  </si>
  <si>
    <t xml:space="preserve">1. Click 'About' link
2. Observe resulting behavior</t>
  </si>
  <si>
    <t xml:space="preserve">Link navigates to an expected destination (e.g. Sauce Labs site) or shows a clear result; no silent failure or blank page</t>
  </si>
  <si>
    <t xml:space="preserve">TC-CAT-021</t>
  </si>
  <si>
    <t xml:space="preserve">TS-CAT-021</t>
  </si>
  <si>
    <t xml:space="preserve">Inventory page blocked without login</t>
  </si>
  <si>
    <t xml:space="preserve">User is NOT logged in</t>
  </si>
  <si>
    <t xml:space="preserve">1. Directly navigate to /inventory.html without logging in</t>
  </si>
  <si>
    <t xml:space="preserve">URL: /inventory.html</t>
  </si>
  <si>
    <t xml:space="preserve">User is redirected to Login page; inventory data is not shown</t>
  </si>
  <si>
    <t xml:space="preserve">TC-CAT-022</t>
  </si>
  <si>
    <t xml:space="preserve">TS-CAT-022</t>
  </si>
  <si>
    <t xml:space="preserve">Edge Case</t>
  </si>
  <si>
    <t xml:space="preserve">Default sort order on first load</t>
  </si>
  <si>
    <t xml:space="preserve">User just logged in for the first time in a fresh session</t>
  </si>
  <si>
    <t xml:space="preserve">1. Log in
2. Observe the sort dropdown's default selected value and product order</t>
  </si>
  <si>
    <t xml:space="preserve">Sort dropdown defaults to a consistent option (e.g. 'Name (A to Z)') every time</t>
  </si>
  <si>
    <t xml:space="preserve">TC-CAT-023</t>
  </si>
  <si>
    <t xml:space="preserve">TS-CAT-023</t>
  </si>
  <si>
    <t xml:space="preserve">Re-selecting same sort option twice</t>
  </si>
  <si>
    <t xml:space="preserve">1. Select 'Price (low to high)'
2. Select 'Price (low to high)' again immediately</t>
  </si>
  <si>
    <t xml:space="preserve">Sort option: Price (low to high), selected twice</t>
  </si>
  <si>
    <t xml:space="preserve">Product order remains correctly sorted; no error or list corruption</t>
  </si>
  <si>
    <t xml:space="preserve">TC-CAT-024</t>
  </si>
  <si>
    <t xml:space="preserve">TS-CAT-024</t>
  </si>
  <si>
    <t xml:space="preserve">Direct navigation to valid product detail URL</t>
  </si>
  <si>
    <t xml:space="preserve">1. Manually type/navigate to a known valid product detail URL without clicking through the listing page</t>
  </si>
  <si>
    <t xml:space="preserve">URL: /inventory-item.html?id=4 (valid ID)</t>
  </si>
  <si>
    <t xml:space="preserve">Correct product detail page loads directly with accurate data</t>
  </si>
  <si>
    <t xml:space="preserve">TC-CAT-025</t>
  </si>
  <si>
    <t xml:space="preserve">TS-CAT-025</t>
  </si>
  <si>
    <t xml:space="preserve">Reset App State on already-empty cart</t>
  </si>
  <si>
    <t xml:space="preserve">User is logged in with an empty cart</t>
  </si>
  <si>
    <t xml:space="preserve">1. Confirm cart is empty
2. Click 'Reset App State'</t>
  </si>
  <si>
    <t xml:space="preserve">Cart: 0 items</t>
  </si>
  <si>
    <t xml:space="preserve">No error occurs; cart remains at 0 items</t>
  </si>
  <si>
    <t xml:space="preserve">TC-CAT-026</t>
  </si>
  <si>
    <t xml:space="preserve">TS-CAT-026</t>
  </si>
  <si>
    <t xml:space="preserve">Rapid sort switching does not freeze list</t>
  </si>
  <si>
    <t xml:space="preserve">1. Rapidly select all 4 sort options one after another within a few seconds</t>
  </si>
  <si>
    <t xml:space="preserve">All 4 sort options in quick succession</t>
  </si>
  <si>
    <t xml:space="preserve">Final product list correctly reflects the last selected sort option; no freeze or mismatched order</t>
  </si>
  <si>
    <t xml:space="preserve">TC-CAT-027</t>
  </si>
  <si>
    <t xml:space="preserve">TS-CAT-027</t>
  </si>
  <si>
    <t xml:space="preserve">Sort resets after logout/login cycle</t>
  </si>
  <si>
    <t xml:space="preserve">User has applied a non-default sort</t>
  </si>
  <si>
    <t xml:space="preserve">1. Apply 'Price (high to low)' sort
2. Log out
3. Log back in
4. Observe sort dropdown state</t>
  </si>
  <si>
    <t xml:space="preserve">Sort option: Price (high to low), then logout/login</t>
  </si>
  <si>
    <t xml:space="preserve">Sort resets to the default option on the new session (not carried over from before logout)</t>
  </si>
  <si>
    <t xml:space="preserve">TC-CAT-028</t>
  </si>
  <si>
    <t xml:space="preserve">TS-CAT-028</t>
  </si>
  <si>
    <t xml:space="preserve">Open menu then logout has no leftover UI state</t>
  </si>
  <si>
    <t xml:space="preserve">1. Open side menu
2. Click 'Logout' directly from open menu
3. Observe resulting Login page</t>
  </si>
  <si>
    <t xml:space="preserve">Login page loads cleanly; no leftover menu overlay or stale UI elements from previous session</t>
  </si>
  <si>
    <t xml:space="preserve">Product Catalog &amp; Navigation Test Case Summary</t>
  </si>
  <si>
    <t xml:space="preserve">Count</t>
  </si>
  <si>
    <t xml:space="preserve">Total</t>
  </si>
  <si>
    <t xml:space="preserve">Execution Status</t>
  </si>
  <si>
    <t xml:space="preserve">Pass</t>
  </si>
  <si>
    <t xml:space="preserve">Fail</t>
  </si>
  <si>
    <t xml:space="preserve">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</si>
</sst>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s">
        <v>15</v>
      </c>
      <c r="B2" s="2" t="s">
        <v>16</v>
      </c>
      <c r="C2" s="3" t="s">
        <v>17</v>
      </c>
      <c r="D2" s="4" t="s">
        <v>18</v>
      </c>
      <c r="E2" s="2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/>
      <c r="K2" s="2" t="s">
        <v>24</v>
      </c>
      <c r="L2" s="2" t="s">
        <v>25</v>
      </c>
      <c r="M2" s="4"/>
      <c r="N2" s="4"/>
      <c r="O2" s="4"/>
    </row>
    <row r="3" customFormat="false" ht="35.05" hidden="false" customHeight="false" outlineLevel="0" collapsed="false">
      <c r="A3" s="2" t="s">
        <v>26</v>
      </c>
      <c r="B3" s="2" t="s">
        <v>27</v>
      </c>
      <c r="C3" s="3" t="s">
        <v>17</v>
      </c>
      <c r="D3" s="4" t="s">
        <v>28</v>
      </c>
      <c r="E3" s="2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/>
      <c r="K3" s="2" t="s">
        <v>24</v>
      </c>
      <c r="L3" s="2" t="s">
        <v>34</v>
      </c>
      <c r="M3" s="4"/>
      <c r="N3" s="4"/>
      <c r="O3" s="4"/>
    </row>
    <row r="4" customFormat="false" ht="35.05" hidden="false" customHeight="false" outlineLevel="0" collapsed="false">
      <c r="A4" s="2" t="s">
        <v>35</v>
      </c>
      <c r="B4" s="2" t="s">
        <v>36</v>
      </c>
      <c r="C4" s="3" t="s">
        <v>17</v>
      </c>
      <c r="D4" s="4" t="s">
        <v>37</v>
      </c>
      <c r="E4" s="2" t="s">
        <v>29</v>
      </c>
      <c r="F4" s="4" t="s">
        <v>30</v>
      </c>
      <c r="G4" s="4" t="s">
        <v>38</v>
      </c>
      <c r="H4" s="4" t="s">
        <v>39</v>
      </c>
      <c r="I4" s="4" t="s">
        <v>40</v>
      </c>
      <c r="J4" s="4"/>
      <c r="K4" s="2" t="s">
        <v>24</v>
      </c>
      <c r="L4" s="2" t="s">
        <v>34</v>
      </c>
      <c r="M4" s="4"/>
      <c r="N4" s="4"/>
      <c r="O4" s="4"/>
    </row>
    <row r="5" customFormat="false" ht="35.05" hidden="false" customHeight="false" outlineLevel="0" collapsed="false">
      <c r="A5" s="2" t="s">
        <v>41</v>
      </c>
      <c r="B5" s="2" t="s">
        <v>42</v>
      </c>
      <c r="C5" s="3" t="s">
        <v>17</v>
      </c>
      <c r="D5" s="4" t="s">
        <v>43</v>
      </c>
      <c r="E5" s="2" t="s">
        <v>29</v>
      </c>
      <c r="F5" s="4" t="s">
        <v>30</v>
      </c>
      <c r="G5" s="4" t="s">
        <v>44</v>
      </c>
      <c r="H5" s="4" t="s">
        <v>45</v>
      </c>
      <c r="I5" s="4" t="s">
        <v>46</v>
      </c>
      <c r="J5" s="4"/>
      <c r="K5" s="2" t="s">
        <v>24</v>
      </c>
      <c r="L5" s="2" t="s">
        <v>34</v>
      </c>
      <c r="M5" s="4"/>
      <c r="N5" s="4"/>
      <c r="O5" s="4"/>
    </row>
    <row r="6" customFormat="false" ht="35.05" hidden="false" customHeight="false" outlineLevel="0" collapsed="false">
      <c r="A6" s="2" t="s">
        <v>47</v>
      </c>
      <c r="B6" s="2" t="s">
        <v>48</v>
      </c>
      <c r="C6" s="3" t="s">
        <v>17</v>
      </c>
      <c r="D6" s="4" t="s">
        <v>49</v>
      </c>
      <c r="E6" s="2" t="s">
        <v>29</v>
      </c>
      <c r="F6" s="4" t="s">
        <v>30</v>
      </c>
      <c r="G6" s="4" t="s">
        <v>50</v>
      </c>
      <c r="H6" s="4" t="s">
        <v>51</v>
      </c>
      <c r="I6" s="4" t="s">
        <v>52</v>
      </c>
      <c r="J6" s="4"/>
      <c r="K6" s="2" t="s">
        <v>24</v>
      </c>
      <c r="L6" s="2" t="s">
        <v>34</v>
      </c>
      <c r="M6" s="4"/>
      <c r="N6" s="4"/>
      <c r="O6" s="4"/>
    </row>
    <row r="7" customFormat="false" ht="23.85" hidden="false" customHeight="false" outlineLevel="0" collapsed="false">
      <c r="A7" s="2" t="s">
        <v>53</v>
      </c>
      <c r="B7" s="2" t="s">
        <v>54</v>
      </c>
      <c r="C7" s="3" t="s">
        <v>17</v>
      </c>
      <c r="D7" s="4" t="s">
        <v>55</v>
      </c>
      <c r="E7" s="2" t="s">
        <v>56</v>
      </c>
      <c r="F7" s="4" t="s">
        <v>30</v>
      </c>
      <c r="G7" s="4" t="s">
        <v>57</v>
      </c>
      <c r="H7" s="4" t="s">
        <v>58</v>
      </c>
      <c r="I7" s="4" t="s">
        <v>59</v>
      </c>
      <c r="J7" s="4"/>
      <c r="K7" s="2" t="s">
        <v>24</v>
      </c>
      <c r="L7" s="2" t="s">
        <v>34</v>
      </c>
      <c r="M7" s="4"/>
      <c r="N7" s="4"/>
      <c r="O7" s="4"/>
    </row>
    <row r="8" customFormat="false" ht="46.25" hidden="false" customHeight="false" outlineLevel="0" collapsed="false">
      <c r="A8" s="2" t="s">
        <v>60</v>
      </c>
      <c r="B8" s="2" t="s">
        <v>61</v>
      </c>
      <c r="C8" s="3" t="s">
        <v>17</v>
      </c>
      <c r="D8" s="4" t="s">
        <v>62</v>
      </c>
      <c r="E8" s="2" t="s">
        <v>56</v>
      </c>
      <c r="F8" s="4" t="s">
        <v>30</v>
      </c>
      <c r="G8" s="4" t="s">
        <v>63</v>
      </c>
      <c r="H8" s="4" t="s">
        <v>58</v>
      </c>
      <c r="I8" s="4" t="s">
        <v>64</v>
      </c>
      <c r="J8" s="4"/>
      <c r="K8" s="2" t="s">
        <v>24</v>
      </c>
      <c r="L8" s="2" t="s">
        <v>25</v>
      </c>
      <c r="M8" s="4"/>
      <c r="N8" s="4"/>
      <c r="O8" s="4"/>
    </row>
    <row r="9" customFormat="false" ht="15" hidden="false" customHeight="false" outlineLevel="0" collapsed="false">
      <c r="A9" s="2" t="s">
        <v>65</v>
      </c>
      <c r="B9" s="2" t="s">
        <v>66</v>
      </c>
      <c r="C9" s="3" t="s">
        <v>17</v>
      </c>
      <c r="D9" s="4" t="s">
        <v>67</v>
      </c>
      <c r="E9" s="2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/>
      <c r="K9" s="2" t="s">
        <v>24</v>
      </c>
      <c r="L9" s="2" t="s">
        <v>73</v>
      </c>
      <c r="M9" s="4"/>
      <c r="N9" s="4"/>
      <c r="O9" s="4"/>
    </row>
    <row r="10" customFormat="false" ht="15" hidden="false" customHeight="false" outlineLevel="0" collapsed="false">
      <c r="A10" s="2" t="s">
        <v>74</v>
      </c>
      <c r="B10" s="2" t="s">
        <v>75</v>
      </c>
      <c r="C10" s="3" t="s">
        <v>17</v>
      </c>
      <c r="D10" s="4" t="s">
        <v>76</v>
      </c>
      <c r="E10" s="2" t="s">
        <v>77</v>
      </c>
      <c r="F10" s="4" t="s">
        <v>30</v>
      </c>
      <c r="G10" s="4" t="s">
        <v>78</v>
      </c>
      <c r="H10" s="4" t="s">
        <v>71</v>
      </c>
      <c r="I10" s="4" t="s">
        <v>79</v>
      </c>
      <c r="J10" s="4"/>
      <c r="K10" s="2" t="s">
        <v>24</v>
      </c>
      <c r="L10" s="2" t="s">
        <v>73</v>
      </c>
      <c r="M10" s="4"/>
      <c r="N10" s="4"/>
      <c r="O10" s="4"/>
    </row>
    <row r="11" customFormat="false" ht="23.85" hidden="false" customHeight="false" outlineLevel="0" collapsed="false">
      <c r="A11" s="2" t="s">
        <v>80</v>
      </c>
      <c r="B11" s="2" t="s">
        <v>81</v>
      </c>
      <c r="C11" s="3" t="s">
        <v>17</v>
      </c>
      <c r="D11" s="4" t="s">
        <v>82</v>
      </c>
      <c r="E11" s="2" t="s">
        <v>77</v>
      </c>
      <c r="F11" s="4" t="s">
        <v>83</v>
      </c>
      <c r="G11" s="4" t="s">
        <v>84</v>
      </c>
      <c r="H11" s="4" t="s">
        <v>71</v>
      </c>
      <c r="I11" s="4" t="s">
        <v>85</v>
      </c>
      <c r="J11" s="4"/>
      <c r="K11" s="2" t="s">
        <v>24</v>
      </c>
      <c r="L11" s="2" t="s">
        <v>73</v>
      </c>
      <c r="M11" s="4"/>
      <c r="N11" s="4"/>
      <c r="O11" s="4"/>
    </row>
    <row r="12" customFormat="false" ht="23.85" hidden="false" customHeight="false" outlineLevel="0" collapsed="false">
      <c r="A12" s="2" t="s">
        <v>86</v>
      </c>
      <c r="B12" s="2" t="s">
        <v>87</v>
      </c>
      <c r="C12" s="3" t="s">
        <v>17</v>
      </c>
      <c r="D12" s="4" t="s">
        <v>88</v>
      </c>
      <c r="E12" s="2" t="s">
        <v>77</v>
      </c>
      <c r="F12" s="4" t="s">
        <v>83</v>
      </c>
      <c r="G12" s="4" t="s">
        <v>89</v>
      </c>
      <c r="H12" s="4" t="s">
        <v>71</v>
      </c>
      <c r="I12" s="4" t="s">
        <v>90</v>
      </c>
      <c r="J12" s="4"/>
      <c r="K12" s="2" t="s">
        <v>24</v>
      </c>
      <c r="L12" s="2" t="s">
        <v>73</v>
      </c>
      <c r="M12" s="4"/>
      <c r="N12" s="4"/>
      <c r="O12" s="4"/>
    </row>
    <row r="13" customFormat="false" ht="35.05" hidden="false" customHeight="false" outlineLevel="0" collapsed="false">
      <c r="A13" s="2" t="s">
        <v>91</v>
      </c>
      <c r="B13" s="2" t="s">
        <v>92</v>
      </c>
      <c r="C13" s="3" t="s">
        <v>17</v>
      </c>
      <c r="D13" s="4" t="s">
        <v>93</v>
      </c>
      <c r="E13" s="2" t="s">
        <v>94</v>
      </c>
      <c r="F13" s="4" t="s">
        <v>95</v>
      </c>
      <c r="G13" s="4" t="s">
        <v>96</v>
      </c>
      <c r="H13" s="4" t="s">
        <v>97</v>
      </c>
      <c r="I13" s="4" t="s">
        <v>98</v>
      </c>
      <c r="J13" s="4"/>
      <c r="K13" s="2" t="s">
        <v>24</v>
      </c>
      <c r="L13" s="2" t="s">
        <v>34</v>
      </c>
      <c r="M13" s="4"/>
      <c r="N13" s="4"/>
      <c r="O13" s="4"/>
    </row>
    <row r="14" customFormat="false" ht="35.05" hidden="false" customHeight="false" outlineLevel="0" collapsed="false">
      <c r="A14" s="2" t="s">
        <v>99</v>
      </c>
      <c r="B14" s="2" t="s">
        <v>100</v>
      </c>
      <c r="C14" s="3" t="s">
        <v>17</v>
      </c>
      <c r="D14" s="4" t="s">
        <v>101</v>
      </c>
      <c r="E14" s="2" t="s">
        <v>102</v>
      </c>
      <c r="F14" s="4" t="s">
        <v>103</v>
      </c>
      <c r="G14" s="4" t="s">
        <v>104</v>
      </c>
      <c r="H14" s="4" t="s">
        <v>51</v>
      </c>
      <c r="I14" s="4" t="s">
        <v>105</v>
      </c>
      <c r="J14" s="4"/>
      <c r="K14" s="2" t="s">
        <v>24</v>
      </c>
      <c r="L14" s="2" t="s">
        <v>73</v>
      </c>
      <c r="M14" s="4"/>
      <c r="N14" s="4"/>
      <c r="O14" s="4"/>
    </row>
    <row r="15" customFormat="false" ht="23.85" hidden="false" customHeight="false" outlineLevel="0" collapsed="false">
      <c r="A15" s="2" t="s">
        <v>106</v>
      </c>
      <c r="B15" s="2" t="s">
        <v>107</v>
      </c>
      <c r="C15" s="3" t="s">
        <v>17</v>
      </c>
      <c r="D15" s="4" t="s">
        <v>108</v>
      </c>
      <c r="E15" s="2" t="s">
        <v>56</v>
      </c>
      <c r="F15" s="4" t="s">
        <v>69</v>
      </c>
      <c r="G15" s="4" t="s">
        <v>109</v>
      </c>
      <c r="H15" s="4" t="s">
        <v>110</v>
      </c>
      <c r="I15" s="4" t="s">
        <v>111</v>
      </c>
      <c r="J15" s="4"/>
      <c r="K15" s="2" t="s">
        <v>24</v>
      </c>
      <c r="L15" s="2" t="s">
        <v>34</v>
      </c>
      <c r="M15" s="4"/>
      <c r="N15" s="4"/>
      <c r="O15" s="4"/>
    </row>
    <row r="16" customFormat="false" ht="35.05" hidden="false" customHeight="false" outlineLevel="0" collapsed="false">
      <c r="A16" s="2" t="s">
        <v>112</v>
      </c>
      <c r="B16" s="2" t="s">
        <v>113</v>
      </c>
      <c r="C16" s="5" t="s">
        <v>114</v>
      </c>
      <c r="D16" s="4" t="s">
        <v>115</v>
      </c>
      <c r="E16" s="2" t="s">
        <v>19</v>
      </c>
      <c r="F16" s="4" t="s">
        <v>30</v>
      </c>
      <c r="G16" s="4" t="s">
        <v>116</v>
      </c>
      <c r="H16" s="4" t="s">
        <v>117</v>
      </c>
      <c r="I16" s="4" t="s">
        <v>118</v>
      </c>
      <c r="J16" s="4"/>
      <c r="K16" s="2" t="s">
        <v>24</v>
      </c>
      <c r="L16" s="2" t="s">
        <v>25</v>
      </c>
      <c r="M16" s="4"/>
      <c r="N16" s="4"/>
      <c r="O16" s="4"/>
    </row>
    <row r="17" customFormat="false" ht="35.05" hidden="false" customHeight="false" outlineLevel="0" collapsed="false">
      <c r="A17" s="2" t="s">
        <v>119</v>
      </c>
      <c r="B17" s="2" t="s">
        <v>120</v>
      </c>
      <c r="C17" s="5" t="s">
        <v>114</v>
      </c>
      <c r="D17" s="4" t="s">
        <v>121</v>
      </c>
      <c r="E17" s="2" t="s">
        <v>19</v>
      </c>
      <c r="F17" s="4" t="s">
        <v>30</v>
      </c>
      <c r="G17" s="4" t="s">
        <v>122</v>
      </c>
      <c r="H17" s="4" t="s">
        <v>71</v>
      </c>
      <c r="I17" s="4" t="s">
        <v>123</v>
      </c>
      <c r="J17" s="4"/>
      <c r="K17" s="2" t="s">
        <v>24</v>
      </c>
      <c r="L17" s="2" t="s">
        <v>34</v>
      </c>
      <c r="M17" s="4"/>
      <c r="N17" s="4"/>
      <c r="O17" s="4"/>
    </row>
    <row r="18" customFormat="false" ht="35.05" hidden="false" customHeight="false" outlineLevel="0" collapsed="false">
      <c r="A18" s="2" t="s">
        <v>124</v>
      </c>
      <c r="B18" s="2" t="s">
        <v>125</v>
      </c>
      <c r="C18" s="5" t="s">
        <v>114</v>
      </c>
      <c r="D18" s="4" t="s">
        <v>126</v>
      </c>
      <c r="E18" s="2" t="s">
        <v>29</v>
      </c>
      <c r="F18" s="4" t="s">
        <v>127</v>
      </c>
      <c r="G18" s="4" t="s">
        <v>128</v>
      </c>
      <c r="H18" s="4" t="s">
        <v>129</v>
      </c>
      <c r="I18" s="4" t="s">
        <v>130</v>
      </c>
      <c r="J18" s="4"/>
      <c r="K18" s="2" t="s">
        <v>24</v>
      </c>
      <c r="L18" s="2" t="s">
        <v>25</v>
      </c>
      <c r="M18" s="4"/>
      <c r="N18" s="4"/>
      <c r="O18" s="4"/>
    </row>
    <row r="19" customFormat="false" ht="23.85" hidden="false" customHeight="false" outlineLevel="0" collapsed="false">
      <c r="A19" s="2" t="s">
        <v>131</v>
      </c>
      <c r="B19" s="2" t="s">
        <v>132</v>
      </c>
      <c r="C19" s="5" t="s">
        <v>114</v>
      </c>
      <c r="D19" s="4" t="s">
        <v>133</v>
      </c>
      <c r="E19" s="2" t="s">
        <v>56</v>
      </c>
      <c r="F19" s="4" t="s">
        <v>134</v>
      </c>
      <c r="G19" s="4" t="s">
        <v>135</v>
      </c>
      <c r="H19" s="4" t="s">
        <v>136</v>
      </c>
      <c r="I19" s="4" t="s">
        <v>137</v>
      </c>
      <c r="J19" s="4"/>
      <c r="K19" s="2" t="s">
        <v>24</v>
      </c>
      <c r="L19" s="2" t="s">
        <v>34</v>
      </c>
      <c r="M19" s="4"/>
      <c r="N19" s="4"/>
      <c r="O19" s="4"/>
    </row>
    <row r="20" customFormat="false" ht="23.85" hidden="false" customHeight="false" outlineLevel="0" collapsed="false">
      <c r="A20" s="2" t="s">
        <v>138</v>
      </c>
      <c r="B20" s="2" t="s">
        <v>139</v>
      </c>
      <c r="C20" s="5" t="s">
        <v>114</v>
      </c>
      <c r="D20" s="4" t="s">
        <v>140</v>
      </c>
      <c r="E20" s="2" t="s">
        <v>94</v>
      </c>
      <c r="F20" s="4" t="s">
        <v>141</v>
      </c>
      <c r="G20" s="4" t="s">
        <v>142</v>
      </c>
      <c r="H20" s="4" t="s">
        <v>71</v>
      </c>
      <c r="I20" s="4" t="s">
        <v>143</v>
      </c>
      <c r="J20" s="4"/>
      <c r="K20" s="2" t="s">
        <v>24</v>
      </c>
      <c r="L20" s="2" t="s">
        <v>34</v>
      </c>
      <c r="M20" s="4"/>
      <c r="N20" s="4"/>
      <c r="O20" s="4"/>
    </row>
    <row r="21" customFormat="false" ht="35.05" hidden="false" customHeight="false" outlineLevel="0" collapsed="false">
      <c r="A21" s="2" t="s">
        <v>144</v>
      </c>
      <c r="B21" s="2" t="s">
        <v>145</v>
      </c>
      <c r="C21" s="5" t="s">
        <v>114</v>
      </c>
      <c r="D21" s="4" t="s">
        <v>146</v>
      </c>
      <c r="E21" s="2" t="s">
        <v>77</v>
      </c>
      <c r="F21" s="4" t="s">
        <v>83</v>
      </c>
      <c r="G21" s="4" t="s">
        <v>147</v>
      </c>
      <c r="H21" s="4" t="s">
        <v>71</v>
      </c>
      <c r="I21" s="4" t="s">
        <v>148</v>
      </c>
      <c r="J21" s="4"/>
      <c r="K21" s="2" t="s">
        <v>24</v>
      </c>
      <c r="L21" s="2" t="s">
        <v>73</v>
      </c>
      <c r="M21" s="4"/>
      <c r="N21" s="4"/>
      <c r="O21" s="4"/>
    </row>
    <row r="22" customFormat="false" ht="23.85" hidden="false" customHeight="false" outlineLevel="0" collapsed="false">
      <c r="A22" s="2" t="s">
        <v>149</v>
      </c>
      <c r="B22" s="2" t="s">
        <v>150</v>
      </c>
      <c r="C22" s="5" t="s">
        <v>114</v>
      </c>
      <c r="D22" s="4" t="s">
        <v>151</v>
      </c>
      <c r="E22" s="2" t="s">
        <v>19</v>
      </c>
      <c r="F22" s="4" t="s">
        <v>152</v>
      </c>
      <c r="G22" s="4" t="s">
        <v>153</v>
      </c>
      <c r="H22" s="4" t="s">
        <v>154</v>
      </c>
      <c r="I22" s="4" t="s">
        <v>155</v>
      </c>
      <c r="J22" s="4"/>
      <c r="K22" s="2" t="s">
        <v>24</v>
      </c>
      <c r="L22" s="2" t="s">
        <v>25</v>
      </c>
      <c r="M22" s="4"/>
      <c r="N22" s="4"/>
      <c r="O22" s="4"/>
    </row>
    <row r="23" customFormat="false" ht="35.05" hidden="false" customHeight="false" outlineLevel="0" collapsed="false">
      <c r="A23" s="2" t="s">
        <v>156</v>
      </c>
      <c r="B23" s="2" t="s">
        <v>157</v>
      </c>
      <c r="C23" s="6" t="s">
        <v>158</v>
      </c>
      <c r="D23" s="4" t="s">
        <v>159</v>
      </c>
      <c r="E23" s="2" t="s">
        <v>29</v>
      </c>
      <c r="F23" s="4" t="s">
        <v>160</v>
      </c>
      <c r="G23" s="4" t="s">
        <v>161</v>
      </c>
      <c r="H23" s="4" t="s">
        <v>71</v>
      </c>
      <c r="I23" s="4" t="s">
        <v>162</v>
      </c>
      <c r="J23" s="4"/>
      <c r="K23" s="2" t="s">
        <v>24</v>
      </c>
      <c r="L23" s="2" t="s">
        <v>73</v>
      </c>
      <c r="M23" s="4"/>
      <c r="N23" s="4"/>
      <c r="O23" s="4"/>
    </row>
    <row r="24" customFormat="false" ht="23.85" hidden="false" customHeight="false" outlineLevel="0" collapsed="false">
      <c r="A24" s="2" t="s">
        <v>163</v>
      </c>
      <c r="B24" s="2" t="s">
        <v>164</v>
      </c>
      <c r="C24" s="6" t="s">
        <v>158</v>
      </c>
      <c r="D24" s="4" t="s">
        <v>165</v>
      </c>
      <c r="E24" s="2" t="s">
        <v>29</v>
      </c>
      <c r="F24" s="4" t="s">
        <v>30</v>
      </c>
      <c r="G24" s="4" t="s">
        <v>166</v>
      </c>
      <c r="H24" s="4" t="s">
        <v>167</v>
      </c>
      <c r="I24" s="4" t="s">
        <v>168</v>
      </c>
      <c r="J24" s="4"/>
      <c r="K24" s="2" t="s">
        <v>24</v>
      </c>
      <c r="L24" s="2" t="s">
        <v>73</v>
      </c>
      <c r="M24" s="4"/>
      <c r="N24" s="4"/>
      <c r="O24" s="4"/>
    </row>
    <row r="25" customFormat="false" ht="35.05" hidden="false" customHeight="false" outlineLevel="0" collapsed="false">
      <c r="A25" s="2" t="s">
        <v>169</v>
      </c>
      <c r="B25" s="2" t="s">
        <v>170</v>
      </c>
      <c r="C25" s="6" t="s">
        <v>158</v>
      </c>
      <c r="D25" s="4" t="s">
        <v>171</v>
      </c>
      <c r="E25" s="2" t="s">
        <v>56</v>
      </c>
      <c r="F25" s="4" t="s">
        <v>134</v>
      </c>
      <c r="G25" s="4" t="s">
        <v>172</v>
      </c>
      <c r="H25" s="4" t="s">
        <v>173</v>
      </c>
      <c r="I25" s="4" t="s">
        <v>174</v>
      </c>
      <c r="J25" s="4"/>
      <c r="K25" s="2" t="s">
        <v>24</v>
      </c>
      <c r="L25" s="2" t="s">
        <v>73</v>
      </c>
      <c r="M25" s="4"/>
      <c r="N25" s="4"/>
      <c r="O25" s="4"/>
    </row>
    <row r="26" customFormat="false" ht="23.85" hidden="false" customHeight="false" outlineLevel="0" collapsed="false">
      <c r="A26" s="2" t="s">
        <v>175</v>
      </c>
      <c r="B26" s="2" t="s">
        <v>176</v>
      </c>
      <c r="C26" s="6" t="s">
        <v>158</v>
      </c>
      <c r="D26" s="4" t="s">
        <v>177</v>
      </c>
      <c r="E26" s="2" t="s">
        <v>94</v>
      </c>
      <c r="F26" s="4" t="s">
        <v>178</v>
      </c>
      <c r="G26" s="4" t="s">
        <v>179</v>
      </c>
      <c r="H26" s="4" t="s">
        <v>180</v>
      </c>
      <c r="I26" s="4" t="s">
        <v>181</v>
      </c>
      <c r="J26" s="4"/>
      <c r="K26" s="2" t="s">
        <v>24</v>
      </c>
      <c r="L26" s="2" t="s">
        <v>73</v>
      </c>
      <c r="M26" s="4"/>
      <c r="N26" s="4"/>
      <c r="O26" s="4"/>
    </row>
    <row r="27" customFormat="false" ht="35.05" hidden="false" customHeight="false" outlineLevel="0" collapsed="false">
      <c r="A27" s="2" t="s">
        <v>182</v>
      </c>
      <c r="B27" s="2" t="s">
        <v>183</v>
      </c>
      <c r="C27" s="6" t="s">
        <v>158</v>
      </c>
      <c r="D27" s="4" t="s">
        <v>184</v>
      </c>
      <c r="E27" s="2" t="s">
        <v>29</v>
      </c>
      <c r="F27" s="4" t="s">
        <v>30</v>
      </c>
      <c r="G27" s="4" t="s">
        <v>185</v>
      </c>
      <c r="H27" s="4" t="s">
        <v>186</v>
      </c>
      <c r="I27" s="4" t="s">
        <v>187</v>
      </c>
      <c r="J27" s="4"/>
      <c r="K27" s="2" t="s">
        <v>24</v>
      </c>
      <c r="L27" s="2" t="s">
        <v>34</v>
      </c>
      <c r="M27" s="4"/>
      <c r="N27" s="4"/>
      <c r="O27" s="4"/>
    </row>
    <row r="28" customFormat="false" ht="46.25" hidden="false" customHeight="false" outlineLevel="0" collapsed="false">
      <c r="A28" s="2" t="s">
        <v>188</v>
      </c>
      <c r="B28" s="2" t="s">
        <v>189</v>
      </c>
      <c r="C28" s="6" t="s">
        <v>158</v>
      </c>
      <c r="D28" s="4" t="s">
        <v>190</v>
      </c>
      <c r="E28" s="2" t="s">
        <v>102</v>
      </c>
      <c r="F28" s="4" t="s">
        <v>191</v>
      </c>
      <c r="G28" s="4" t="s">
        <v>192</v>
      </c>
      <c r="H28" s="4" t="s">
        <v>193</v>
      </c>
      <c r="I28" s="4" t="s">
        <v>194</v>
      </c>
      <c r="J28" s="4"/>
      <c r="K28" s="2" t="s">
        <v>24</v>
      </c>
      <c r="L28" s="2" t="s">
        <v>73</v>
      </c>
      <c r="M28" s="4"/>
      <c r="N28" s="4"/>
      <c r="O28" s="4"/>
    </row>
    <row r="29" customFormat="false" ht="35.05" hidden="false" customHeight="false" outlineLevel="0" collapsed="false">
      <c r="A29" s="2" t="s">
        <v>195</v>
      </c>
      <c r="B29" s="2" t="s">
        <v>196</v>
      </c>
      <c r="C29" s="6" t="s">
        <v>158</v>
      </c>
      <c r="D29" s="4" t="s">
        <v>197</v>
      </c>
      <c r="E29" s="2" t="s">
        <v>77</v>
      </c>
      <c r="F29" s="4" t="s">
        <v>134</v>
      </c>
      <c r="G29" s="4" t="s">
        <v>198</v>
      </c>
      <c r="H29" s="4" t="s">
        <v>71</v>
      </c>
      <c r="I29" s="4" t="s">
        <v>199</v>
      </c>
      <c r="J29" s="4"/>
      <c r="K29" s="2" t="s">
        <v>24</v>
      </c>
      <c r="L29" s="2" t="s">
        <v>73</v>
      </c>
      <c r="M29" s="4"/>
      <c r="N29" s="4"/>
      <c r="O29" s="4"/>
    </row>
  </sheetData>
  <autoFilter ref="A1:O29"/>
  <dataValidations count="1">
    <dataValidation allowBlank="true" errorStyle="stop" operator="between" showDropDown="false" showErrorMessage="false" showInputMessage="false" sqref="K2:K29" type="list">
      <formula1>"Not Executed,Pass,Fail,Blocked,Skipped"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7" t="s">
        <v>200</v>
      </c>
      <c r="B1" s="7"/>
      <c r="C1" s="7"/>
    </row>
    <row r="3" customFormat="false" ht="15" hidden="false" customHeight="false" outlineLevel="0" collapsed="false">
      <c r="A3" s="8" t="s">
        <v>2</v>
      </c>
      <c r="B3" s="9" t="s">
        <v>201</v>
      </c>
    </row>
    <row r="4" customFormat="false" ht="15" hidden="false" customHeight="false" outlineLevel="0" collapsed="false">
      <c r="A4" s="9" t="s">
        <v>17</v>
      </c>
      <c r="B4" s="9" t="n">
        <f aca="false">COUNTIF(Catalog_Nav_Test_Cases!C2:C29,"Positive")</f>
        <v>14</v>
      </c>
    </row>
    <row r="5" customFormat="false" ht="15" hidden="false" customHeight="false" outlineLevel="0" collapsed="false">
      <c r="A5" s="9" t="s">
        <v>114</v>
      </c>
      <c r="B5" s="9" t="n">
        <f aca="false">COUNTIF(Catalog_Nav_Test_Cases!C2:C29,"Negative")</f>
        <v>7</v>
      </c>
    </row>
    <row r="6" customFormat="false" ht="15" hidden="false" customHeight="false" outlineLevel="0" collapsed="false">
      <c r="A6" s="9" t="s">
        <v>158</v>
      </c>
      <c r="B6" s="9" t="n">
        <f aca="false">COUNTIF(Catalog_Nav_Test_Cases!C2:C29,"Edge Case")</f>
        <v>7</v>
      </c>
    </row>
    <row r="7" customFormat="false" ht="15" hidden="false" customHeight="false" outlineLevel="0" collapsed="false">
      <c r="A7" s="9" t="s">
        <v>202</v>
      </c>
      <c r="B7" s="9" t="n">
        <f aca="false">COUNTA(Catalog_Nav_Test_Cases!A2:A29)</f>
        <v>28</v>
      </c>
    </row>
    <row r="9" customFormat="false" ht="15" hidden="false" customHeight="false" outlineLevel="0" collapsed="false">
      <c r="A9" s="10" t="s">
        <v>203</v>
      </c>
    </row>
    <row r="10" customFormat="false" ht="15" hidden="false" customHeight="false" outlineLevel="0" collapsed="false">
      <c r="A10" s="8" t="s">
        <v>10</v>
      </c>
      <c r="B10" s="9" t="s">
        <v>201</v>
      </c>
    </row>
    <row r="11" customFormat="false" ht="15" hidden="false" customHeight="false" outlineLevel="0" collapsed="false">
      <c r="A11" s="9" t="s">
        <v>204</v>
      </c>
      <c r="B11" s="9" t="n">
        <f aca="false">COUNTIF(Catalog_Nav_Test_Cases!K2:K29,"Pass")</f>
        <v>0</v>
      </c>
    </row>
    <row r="12" customFormat="false" ht="15" hidden="false" customHeight="false" outlineLevel="0" collapsed="false">
      <c r="A12" s="9" t="s">
        <v>205</v>
      </c>
      <c r="B12" s="9" t="n">
        <f aca="false">COUNTIF(Catalog_Nav_Test_Cases!K2:K29,"Fail")</f>
        <v>0</v>
      </c>
    </row>
    <row r="13" customFormat="false" ht="15" hidden="false" customHeight="false" outlineLevel="0" collapsed="false">
      <c r="A13" s="9" t="s">
        <v>206</v>
      </c>
      <c r="B13" s="9" t="n">
        <f aca="false">COUNTIF(Catalog_Nav_Test_Cases!K2:K29,"Blocked")</f>
        <v>0</v>
      </c>
    </row>
    <row r="14" customFormat="false" ht="15" hidden="false" customHeight="false" outlineLevel="0" collapsed="false">
      <c r="A14" s="9" t="s">
        <v>24</v>
      </c>
      <c r="B14" s="9" t="n">
        <f aca="false">COUNTIF(Catalog_Nav_Test_Cases!K2:K29,"Not Executed")</f>
        <v>28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2026-07-18T13:23:56Z</dcterms:created>
  <dc:creator>openpyxl</dc:creator>
  <dc:description/>
  <dc:language>en-US</dc:language>
  <cp:lastModifiedBy/>
  <dcterms:modified xsi:type="dcterms:W3CDTF">2026-07-18T13:23:56Z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
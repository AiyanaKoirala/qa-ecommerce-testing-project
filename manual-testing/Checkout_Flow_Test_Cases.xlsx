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out_Test_Cases" sheetId="1" state="visible" r:id="rId3"/>
    <sheet name="Summary" sheetId="2" state="visible" r:id="rId4"/>
  </sheets>
  <definedNames>
    <definedName function="false" hidden="true" localSheetId="0" name="_xlnm._FilterDatabase" vbProcedure="false">Checkout_Test_Cases!$A$1:$O$35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<sst xmlns="http://schemas.openxmlformats.org/spreadsheetml/2006/main" count="403" uniqueCount="261">
  <si>
    <t xml:space="preserve">Test Case ID</t>
  </si>
  <si>
    <t xml:space="preserve">Scenario ID</t>
  </si>
  <si>
    <t xml:space="preserve">Category</t>
  </si>
  <si>
    <t xml:space="preserve">Test Case Title</t>
  </si>
  <si>
    <t xml:space="preserve">Related Req ID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</si>
  <si>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</si>
  <si>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</si>
  <si>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</si>
  <si>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</si>
  <si>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</si>
  <si>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</si>
  <si>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</si>
  <si>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Executed By</t>
  </si>
  <si>
    <t xml:space="preserve">Date</t>
  </si>
  <si>
    <t xml:space="preserve">Defect ID / Remarks</t>
  </si>
  <si>
    <t xml:space="preserve">TC-CHK-001</t>
  </si>
  <si>
    <t xml:space="preserve">TS-CHK-001</t>
  </si>
  <si>
    <t xml:space="preserve">Positive</t>
  </si>
  <si>
    <t xml:space="preserve">Proceed to Checkout Info with item in cart</t>
  </si>
  <si>
    <t xml:space="preserve">FR-21</t>
  </si>
  <si>
    <t xml:space="preserve">User is logged in with 1+ item in cart, on Cart page</t>
  </si>
  <si>
    <t xml:space="preserve">1. Click 'Checkout' button on Cart page</t>
  </si>
  <si>
    <t xml:space="preserve">Cart: 1 item (Sauce Labs Backpack)</t>
  </si>
  <si>
    <t xml:space="preserve">Checkout: Your Information page loads with First Name, Last Name, Zip Code fields</t>
  </si>
  <si>
    <t xml:space="preserve">Not Executed</t>
  </si>
  <si>
    <t xml:space="preserve">High</t>
  </si>
  <si>
    <t xml:space="preserve">TC-CHK-002</t>
  </si>
  <si>
    <t xml:space="preserve">TS-CHK-002</t>
  </si>
  <si>
    <t xml:space="preserve">Proceed to Overview with all fields filled</t>
  </si>
  <si>
    <t xml:space="preserve">User is on Checkout Info page</t>
  </si>
  <si>
    <t xml:space="preserve">1. Enter First Name, Last Name, Zip Code
2. Click 'Continue'</t>
  </si>
  <si>
    <t xml:space="preserve">First Name: Aiyana
Last Name: Koirala
Zip: 33700</t>
  </si>
  <si>
    <t xml:space="preserve">User is taken to the Checkout: Overview page</t>
  </si>
  <si>
    <t xml:space="preserve">TC-CHK-003</t>
  </si>
  <si>
    <t xml:space="preserve">TS-CHK-003</t>
  </si>
  <si>
    <t xml:space="preserve">Overview shows correct item list</t>
  </si>
  <si>
    <t xml:space="preserve">FR-23</t>
  </si>
  <si>
    <t xml:space="preserve">Cart has known items; user reaches Overview page</t>
  </si>
  <si>
    <t xml:space="preserve">1. Complete Checkout Info
2. Compare Overview item list to cart contents</t>
  </si>
  <si>
    <t xml:space="preserve">Cart: Backpack, Bike Light</t>
  </si>
  <si>
    <t xml:space="preserve">Overview page lists exactly Backpack and Bike Light, matching the cart</t>
  </si>
  <si>
    <t xml:space="preserve">TC-CHK-004</t>
  </si>
  <si>
    <t xml:space="preserve">TS-CHK-004</t>
  </si>
  <si>
    <t xml:space="preserve">Item subtotal is mathematically correct</t>
  </si>
  <si>
    <t xml:space="preserve">FR-23 / FR-25</t>
  </si>
  <si>
    <t xml:space="preserve">Cart contains items with known prices; user reaches Overview page</t>
  </si>
  <si>
    <t xml:space="preserve">1. Note individual item prices on Overview
2. Manually sum them
3. Compare to displayed 'Item total'</t>
  </si>
  <si>
    <t xml:space="preserve">Backpack ($29.99) + Bike Light ($9.99)</t>
  </si>
  <si>
    <t xml:space="preserve">Displayed Item total equals $39.98 (sum of individual prices)</t>
  </si>
  <si>
    <t xml:space="preserve">TC-CHK-005</t>
  </si>
  <si>
    <t xml:space="preserve">TS-CHK-005</t>
  </si>
  <si>
    <t xml:space="preserve">Tax amount calculated correctly</t>
  </si>
  <si>
    <t xml:space="preserve">FR-25</t>
  </si>
  <si>
    <t xml:space="preserve">User is on Overview page with a known subtotal</t>
  </si>
  <si>
    <t xml:space="preserve">1. Note the Item total
2. Note the displayed Tax value
3. Verify tax matches the site's standard tax rate applied to subtotal</t>
  </si>
  <si>
    <t xml:space="preserve">Item total: $39.98</t>
  </si>
  <si>
    <t xml:space="preserve">Tax value matches expected rate x subtotal (consistent every time, no random values)</t>
  </si>
  <si>
    <t xml:space="preserve">Medium</t>
  </si>
  <si>
    <t xml:space="preserve">TC-CHK-006</t>
  </si>
  <si>
    <t xml:space="preserve">TS-CHK-006</t>
  </si>
  <si>
    <t xml:space="preserve">Grand total equals subtotal plus tax</t>
  </si>
  <si>
    <t xml:space="preserve">User is on Overview page</t>
  </si>
  <si>
    <t xml:space="preserve">1. Note Item total and Tax
2. Add them manually
3. Compare to displayed 'Total'</t>
  </si>
  <si>
    <t xml:space="preserve">Item total: $39.98, Tax: (site-calculated)</t>
  </si>
  <si>
    <t xml:space="preserve">Displayed Total exactly equals Item total + Tax</t>
  </si>
  <si>
    <t xml:space="preserve">TC-CHK-007</t>
  </si>
  <si>
    <t xml:space="preserve">TS-CHK-007</t>
  </si>
  <si>
    <t xml:space="preserve">Complete order via Finish button</t>
  </si>
  <si>
    <t xml:space="preserve">FR-26</t>
  </si>
  <si>
    <t xml:space="preserve">User is on Overview page with valid order</t>
  </si>
  <si>
    <t xml:space="preserve">1. Click 'Finish' button</t>
  </si>
  <si>
    <t xml:space="preserve">N/A</t>
  </si>
  <si>
    <t xml:space="preserve">User is taken to the order confirmation ('Checkout: Complete!') page</t>
  </si>
  <si>
    <t xml:space="preserve">TC-CHK-008</t>
  </si>
  <si>
    <t xml:space="preserve">TS-CHK-008</t>
  </si>
  <si>
    <t xml:space="preserve">Confirmation message displays after Finish</t>
  </si>
  <si>
    <t xml:space="preserve">User has just clicked 'Finish'</t>
  </si>
  <si>
    <t xml:space="preserve">1. Observe the confirmation page content</t>
  </si>
  <si>
    <t xml:space="preserve">Message 'Thank you for your order!' and a success/checkmark icon are displayed</t>
  </si>
  <si>
    <t xml:space="preserve">TC-CHK-009</t>
  </si>
  <si>
    <t xml:space="preserve">TS-CHK-009</t>
  </si>
  <si>
    <t xml:space="preserve">Cart clears after order completion</t>
  </si>
  <si>
    <t xml:space="preserve">FR-27</t>
  </si>
  <si>
    <t xml:space="preserve">User has just completed an order with items that were in the cart</t>
  </si>
  <si>
    <t xml:space="preserve">1. Complete an order via Finish
2. Navigate back to Products page
3. Check cart badge</t>
  </si>
  <si>
    <t xml:space="preserve">Order completed with 2 items</t>
  </si>
  <si>
    <t xml:space="preserve">Cart badge shows 0 / no badge is visible</t>
  </si>
  <si>
    <t xml:space="preserve">TC-CHK-010</t>
  </si>
  <si>
    <t xml:space="preserve">TS-CHK-010</t>
  </si>
  <si>
    <t xml:space="preserve">Cancel from Checkout Info returns to Cart intact</t>
  </si>
  <si>
    <t xml:space="preserve">FR-24</t>
  </si>
  <si>
    <t xml:space="preserve">User is on Checkout Info page with items in cart</t>
  </si>
  <si>
    <t xml:space="preserve">1. Click 'Cancel' on Checkout Info page
2. Check Cart page contents</t>
  </si>
  <si>
    <t xml:space="preserve">Cart: 2 items pre-added</t>
  </si>
  <si>
    <t xml:space="preserve">User returns to Cart page; both items are still present</t>
  </si>
  <si>
    <t xml:space="preserve">TC-CHK-011</t>
  </si>
  <si>
    <t xml:space="preserve">TS-CHK-011</t>
  </si>
  <si>
    <t xml:space="preserve">Cancel from Overview returns with items intact</t>
  </si>
  <si>
    <t xml:space="preserve">User is on Checkout Overview page with items in cart</t>
  </si>
  <si>
    <t xml:space="preserve">1. Click 'Cancel' on Overview page
2. Check resulting page and cart contents</t>
  </si>
  <si>
    <t xml:space="preserve">User returns to Products/Cart page; cart items remain unchanged</t>
  </si>
  <si>
    <t xml:space="preserve">TC-CHK-012</t>
  </si>
  <si>
    <t xml:space="preserve">TS-CHK-012</t>
  </si>
  <si>
    <t xml:space="preserve">Mock Payment Information line is shown</t>
  </si>
  <si>
    <t xml:space="preserve">FR-28</t>
  </si>
  <si>
    <t xml:space="preserve">1. Locate the 'Payment Information' section on the Overview page</t>
  </si>
  <si>
    <t xml:space="preserve">A 'Payment Information' line with a mock value (e.g. SauceCard) is displayed; no real card entry is required</t>
  </si>
  <si>
    <t xml:space="preserve">Low</t>
  </si>
  <si>
    <t xml:space="preserve">TC-CHK-013</t>
  </si>
  <si>
    <t xml:space="preserve">TS-CHK-013</t>
  </si>
  <si>
    <t xml:space="preserve">Mock Shipping Information line is shown</t>
  </si>
  <si>
    <t xml:space="preserve">FR-29</t>
  </si>
  <si>
    <t xml:space="preserve">1. Locate the 'Shipping Information' section on the Overview page</t>
  </si>
  <si>
    <t xml:space="preserve">A 'Shipping Information' line with a mock value (e.g. Free Pony Express Delivery!) is displayed</t>
  </si>
  <si>
    <t xml:space="preserve">TC-CHK-014</t>
  </si>
  <si>
    <t xml:space="preserve">TS-CHK-014</t>
  </si>
  <si>
    <t xml:space="preserve">Back Home navigates to Products page</t>
  </si>
  <si>
    <t xml:space="preserve">User is on the order confirmation page</t>
  </si>
  <si>
    <t xml:space="preserve">1. Click 'Back Home' button</t>
  </si>
  <si>
    <t xml:space="preserve">User is redirected to the Products/Inventory page</t>
  </si>
  <si>
    <t xml:space="preserve">TC-CHK-015</t>
  </si>
  <si>
    <t xml:space="preserve">TS-CHK-015</t>
  </si>
  <si>
    <t xml:space="preserve">Negative</t>
  </si>
  <si>
    <t xml:space="preserve">Blocked when First Name is empty</t>
  </si>
  <si>
    <t xml:space="preserve">1. Leave First Name empty
2. Fill Last Name and Zip Code
3. Click 'Continue'</t>
  </si>
  <si>
    <t xml:space="preserve">First Name: (empty)
Last Name: Koirala
Zip: 33700</t>
  </si>
  <si>
    <t xml:space="preserve">Error 'First Name is required' is shown; user stays on Checkout Info page</t>
  </si>
  <si>
    <t xml:space="preserve">TC-CHK-016</t>
  </si>
  <si>
    <t xml:space="preserve">TS-CHK-016</t>
  </si>
  <si>
    <t xml:space="preserve">Blocked when Last Name is empty</t>
  </si>
  <si>
    <t xml:space="preserve">1. Fill First Name and Zip Code
2. Leave Last Name empty
3. Click 'Continue'</t>
  </si>
  <si>
    <t xml:space="preserve">First Name: Aiyana
Last Name: (empty)
Zip: 33700</t>
  </si>
  <si>
    <t xml:space="preserve">Error 'Last Name is required' is shown; user stays on Checkout Info page</t>
  </si>
  <si>
    <t xml:space="preserve">TC-CHK-017</t>
  </si>
  <si>
    <t xml:space="preserve">TS-CHK-017</t>
  </si>
  <si>
    <t xml:space="preserve">Blocked when Zip Code is empty</t>
  </si>
  <si>
    <t xml:space="preserve">1. Fill First Name and Last Name
2. Leave Zip Code empty
3. Click 'Continue'</t>
  </si>
  <si>
    <t xml:space="preserve">First Name: Aiyana
Last Name: Koirala
Zip: (empty)</t>
  </si>
  <si>
    <t xml:space="preserve">Error 'Postal Code is required' is shown; user stays on Checkout Info page</t>
  </si>
  <si>
    <t xml:space="preserve">TC-CHK-018</t>
  </si>
  <si>
    <t xml:space="preserve">TS-CHK-018</t>
  </si>
  <si>
    <t xml:space="preserve">Blocked when all fields are empty</t>
  </si>
  <si>
    <t xml:space="preserve">1. Leave all 3 fields empty
2. Click 'Continue'</t>
  </si>
  <si>
    <t xml:space="preserve">All fields empty</t>
  </si>
  <si>
    <t xml:space="preserve">Error is shown for the first required field; user cannot proceed to Overview</t>
  </si>
  <si>
    <t xml:space="preserve">TC-CHK-019</t>
  </si>
  <si>
    <t xml:space="preserve">TS-CHK-019</t>
  </si>
  <si>
    <t xml:space="preserve">Whitespace-only input is rejected</t>
  </si>
  <si>
    <t xml:space="preserve">FR-22</t>
  </si>
  <si>
    <t xml:space="preserve">1. Enter '   ' (spaces only) into First Name
2. Fill other fields validly
3. Click 'Continue'</t>
  </si>
  <si>
    <t xml:space="preserve">First Name: '   '
Last Name: Koirala
Zip: 33700</t>
  </si>
  <si>
    <t xml:space="preserve">Required-field error still triggers; user cannot proceed with whitespace-only input</t>
  </si>
  <si>
    <t xml:space="preserve">TC-CHK-020</t>
  </si>
  <si>
    <t xml:space="preserve">TS-CHK-020</t>
  </si>
  <si>
    <t xml:space="preserve">Error message specifies the missing field</t>
  </si>
  <si>
    <t xml:space="preserve">1. Leave only the Zip Code field empty
2. Click 'Continue'
3. Read error message text</t>
  </si>
  <si>
    <t xml:space="preserve">Error message specifically names 'Postal Code', not a vague generic error</t>
  </si>
  <si>
    <t xml:space="preserve">TC-CHK-021</t>
  </si>
  <si>
    <t xml:space="preserve">TS-CHK-021</t>
  </si>
  <si>
    <t xml:space="preserve">Tax calculation is not inconsistent across attempts</t>
  </si>
  <si>
    <t xml:space="preserve">User has 2 separate carts with the same subtotal, tested at different times</t>
  </si>
  <si>
    <t xml:space="preserve">1. Reach Overview with subtotal $39.98
2. Note tax
3. Repeat with a fresh cart with the same $39.98 subtotal
4. Compare tax values</t>
  </si>
  <si>
    <t xml:space="preserve">Subtotal: $39.98 (tested twice)</t>
  </si>
  <si>
    <t xml:space="preserve">Tax value is identical both times (deterministic, not random or inconsistent)</t>
  </si>
  <si>
    <t xml:space="preserve">TC-CHK-022</t>
  </si>
  <si>
    <t xml:space="preserve">TS-CHK-022</t>
  </si>
  <si>
    <t xml:space="preserve">Checkout Info blocked with empty cart</t>
  </si>
  <si>
    <t xml:space="preserve">Cart is empty; user is logged in</t>
  </si>
  <si>
    <t xml:space="preserve">1. Attempt to navigate directly to the checkout-step-one URL with an empty cart</t>
  </si>
  <si>
    <t xml:space="preserve">URL: /checkout-step-one.html, cart empty</t>
  </si>
  <si>
    <t xml:space="preserve">User is redirected or shown a message indicating there's nothing to check out; not a broken/blank order flow</t>
  </si>
  <si>
    <t xml:space="preserve">TC-CHK-023</t>
  </si>
  <si>
    <t xml:space="preserve">TS-CHK-023</t>
  </si>
  <si>
    <t xml:space="preserve">Cancel does not clear the cart</t>
  </si>
  <si>
    <t xml:space="preserve">User is on Checkout Info or Overview page with items in cart</t>
  </si>
  <si>
    <t xml:space="preserve">1. Click 'Cancel'
2. Check the Cart page item count immediately after</t>
  </si>
  <si>
    <t xml:space="preserve">Cart still shows 2 items; Cancel did not clear cart contents</t>
  </si>
  <si>
    <t xml:space="preserve">TC-CHK-024</t>
  </si>
  <si>
    <t xml:space="preserve">TS-CHK-024</t>
  </si>
  <si>
    <t xml:space="preserve">Confirmation does not show without valid Finish action</t>
  </si>
  <si>
    <t xml:space="preserve">User is on Checkout Info page (has not reached Overview yet)</t>
  </si>
  <si>
    <t xml:space="preserve">1. Without completing checkout, attempt to navigate directly to the order-complete URL</t>
  </si>
  <si>
    <t xml:space="preserve">URL: /checkout-complete.html, checkout not completed</t>
  </si>
  <si>
    <t xml:space="preserve">Confirmation message is not shown as if a real order was placed; user is redirected appropriately</t>
  </si>
  <si>
    <t xml:space="preserve">TC-CHK-025</t>
  </si>
  <si>
    <t xml:space="preserve">TS-CHK-025</t>
  </si>
  <si>
    <t xml:space="preserve">Edge Case</t>
  </si>
  <si>
    <t xml:space="preserve">Zip Code field format handling</t>
  </si>
  <si>
    <t xml:space="preserve">1. Enter a Zip Code using letters only (e.g. 'ABCDE')
2. Fill other fields validly
3. Click 'Continue'</t>
  </si>
  <si>
    <t xml:space="preserve">Zip: ABCDE</t>
  </si>
  <si>
    <t xml:space="preserve">System either accepts alphanumeric postal codes consistently (by design) or rejects clearly with a specific format error — behavior should not be inconsistent</t>
  </si>
  <si>
    <t xml:space="preserve">TC-CHK-026</t>
  </si>
  <si>
    <t xml:space="preserve">TS-CHK-026</t>
  </si>
  <si>
    <t xml:space="preserve">Very long First Name input handled gracefully</t>
  </si>
  <si>
    <t xml:space="preserve">1. Enter a 200-character string into First Name
2. Fill other fields validly
3. Click 'Continue'</t>
  </si>
  <si>
    <t xml:space="preserve">First Name: 'a' x 200</t>
  </si>
  <si>
    <t xml:space="preserve">Form does not break layout or crash; either accepts and proceeds, or shows a clear max-length error</t>
  </si>
  <si>
    <t xml:space="preserve">TC-CHK-027</t>
  </si>
  <si>
    <t xml:space="preserve">TS-CHK-027</t>
  </si>
  <si>
    <t xml:space="preserve">Names with apostrophes are accepted</t>
  </si>
  <si>
    <t xml:space="preserve">1. Enter Last Name as "O'Brien"
2. Fill other fields validly
3. Click 'Continue'</t>
  </si>
  <si>
    <t xml:space="preserve">Last Name: O'Brien</t>
  </si>
  <si>
    <t xml:space="preserve">Form accepts the apostrophe correctly and proceeds to Overview without validation error or data corruption</t>
  </si>
  <si>
    <t xml:space="preserve">TC-CHK-028</t>
  </si>
  <si>
    <t xml:space="preserve">TS-CHK-028</t>
  </si>
  <si>
    <t xml:space="preserve">Total correct with single item in cart</t>
  </si>
  <si>
    <t xml:space="preserve">Cart contains exactly 1 item</t>
  </si>
  <si>
    <t xml:space="preserve">1. Add 1 product to cart
2. Proceed through checkout to Overview
3. Verify subtotal, tax, and total</t>
  </si>
  <si>
    <t xml:space="preserve">Cart: 1 item (Sauce Labs Onesie, $7.99)</t>
  </si>
  <si>
    <t xml:space="preserve">Subtotal equals the single item price; tax and total calculate correctly from that base</t>
  </si>
  <si>
    <t xml:space="preserve">TC-CHK-029</t>
  </si>
  <si>
    <t xml:space="preserve">TS-CHK-029</t>
  </si>
  <si>
    <t xml:space="preserve">Total correct with maximum items in cart</t>
  </si>
  <si>
    <t xml:space="preserve">Cart contains all 6 available products</t>
  </si>
  <si>
    <t xml:space="preserve">1. Add all 6 products to cart
2. Proceed through checkout to Overview
3. Verify subtotal, tax, and total</t>
  </si>
  <si>
    <t xml:space="preserve">Cart: all 6 SauceDemo products</t>
  </si>
  <si>
    <t xml:space="preserve">Subtotal equals the sum of all 6 item prices; tax and total calculate correctly with no rounding errors</t>
  </si>
  <si>
    <t xml:space="preserve">TC-CHK-030</t>
  </si>
  <si>
    <t xml:space="preserve">TS-CHK-030</t>
  </si>
  <si>
    <t xml:space="preserve">Refresh on Overview does not duplicate order</t>
  </si>
  <si>
    <t xml:space="preserve">FR-26 / FR-27</t>
  </si>
  <si>
    <t xml:space="preserve">User is on the Overview page</t>
  </si>
  <si>
    <t xml:space="preserve">1. Refresh the browser page (F5) while on Overview, before clicking Finish
2. Click Finish afterward</t>
  </si>
  <si>
    <t xml:space="preserve">Cart: 2 items, page refreshed once on Overview</t>
  </si>
  <si>
    <t xml:space="preserve">Only a single order is placed; no duplicate confirmation or corrupted order state occurs</t>
  </si>
  <si>
    <t xml:space="preserve">TC-CHK-031</t>
  </si>
  <si>
    <t xml:space="preserve">TS-CHK-031</t>
  </si>
  <si>
    <t xml:space="preserve">Double-click Finish does not duplicate order</t>
  </si>
  <si>
    <t xml:space="preserve">User is on the Overview page ready to finish</t>
  </si>
  <si>
    <t xml:space="preserve">1. Rapidly double-click the 'Finish' button</t>
  </si>
  <si>
    <t xml:space="preserve">Cart: 1 item</t>
  </si>
  <si>
    <t xml:space="preserve">Only one order confirmation is shown; no duplicate order or error state occurs</t>
  </si>
  <si>
    <t xml:space="preserve">TC-CHK-032</t>
  </si>
  <si>
    <t xml:space="preserve">TS-CHK-032</t>
  </si>
  <si>
    <t xml:space="preserve">Back button after completion does not resubmit order</t>
  </si>
  <si>
    <t xml:space="preserve">User has just completed an order</t>
  </si>
  <si>
    <t xml:space="preserve">1. On the confirmation page, click the browser Back button
2. Observe resulting page and any 'Finish' action available</t>
  </si>
  <si>
    <t xml:space="preserve">Order just completed</t>
  </si>
  <si>
    <t xml:space="preserve">User cannot resubmit the same completed order; cart remains at 0 items, no duplicate confirmation appears</t>
  </si>
  <si>
    <t xml:space="preserve">TC-CHK-033</t>
  </si>
  <si>
    <t xml:space="preserve">TS-CHK-033</t>
  </si>
  <si>
    <t xml:space="preserve">Direct Overview URL without completing Checkout Info</t>
  </si>
  <si>
    <t xml:space="preserve">FR-21 / FR-23</t>
  </si>
  <si>
    <t xml:space="preserve">User is logged in with items in cart, has NOT filled Checkout Info</t>
  </si>
  <si>
    <t xml:space="preserve">1. Manually navigate directly to the checkout-step-two (Overview) URL</t>
  </si>
  <si>
    <t xml:space="preserve">URL: /checkout-step-two.html, skipping step one</t>
  </si>
  <si>
    <t xml:space="preserve">System handles this gracefully — either redirects to Checkout Info step or shows Overview using default/prior data, without a broken/blank page</t>
  </si>
  <si>
    <t xml:space="preserve">TC-CHK-034</t>
  </si>
  <si>
    <t xml:space="preserve">TS-CHK-034</t>
  </si>
  <si>
    <t xml:space="preserve">Cart badge shows 0 immediately after Finish</t>
  </si>
  <si>
    <t xml:space="preserve">User is on Overview page ready to finish</t>
  </si>
  <si>
    <t xml:space="preserve">1. Click 'Finish'
2. Immediately check the cart badge on the confirmation page (without clicking Back Home)</t>
  </si>
  <si>
    <t xml:space="preserve">Cart: 2 items before Finish</t>
  </si>
  <si>
    <t xml:space="preserve">Cart badge already shows 0 on the confirmation page itself, before navigating elsewhere</t>
  </si>
  <si>
    <t xml:space="preserve">Checkout Flow Test Case Summary</t>
  </si>
  <si>
    <t xml:space="preserve">Count</t>
  </si>
  <si>
    <t xml:space="preserve">Total</t>
  </si>
  <si>
    <t xml:space="preserve">Execution Status</t>
  </si>
  <si>
    <t xml:space="preserve">Pass</t>
  </si>
  <si>
    <t xml:space="preserve">Fail</t>
  </si>
  <si>
    <t xml:space="preserve">Blocked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</si>
</sst>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2CC"/>
      </patternFill>
    </fill>
    <fill>
      <patternFill patternType="solid">
        <fgColor rgb="FFFCE4EC"/>
        <bgColor rgb="FFFFF2CC"/>
      </patternFill>
    </fill>
    <fill>
      <patternFill patternType="solid">
        <fgColor rgb="FFFFF2CC"/>
        <bgColor rgb="FFFCE4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1"/>
    <col collapsed="false" customWidth="true" hidden="false" outlineLevel="0" max="4" min="4" style="0" width="36"/>
    <col collapsed="false" customWidth="true" hidden="false" outlineLevel="0" max="5" min="5" style="0" width="12"/>
    <col collapsed="false" customWidth="true" hidden="false" outlineLevel="0" max="6" min="6" style="0" width="32"/>
    <col collapsed="false" customWidth="true" hidden="false" outlineLevel="0" max="7" min="7" style="0" width="44"/>
    <col collapsed="false" customWidth="true" hidden="false" outlineLevel="0" max="8" min="8" style="0" width="26"/>
    <col collapsed="false" customWidth="true" hidden="false" outlineLevel="0" max="9" min="9" style="0" width="44"/>
    <col collapsed="false" customWidth="true" hidden="false" outlineLevel="0" max="10" min="10" style="0" width="20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2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23.85" hidden="false" customHeight="false" outlineLevel="0" collapsed="false">
      <c r="A2" s="2" t="s">
        <v>15</v>
      </c>
      <c r="B2" s="2" t="s">
        <v>16</v>
      </c>
      <c r="C2" s="3" t="s">
        <v>17</v>
      </c>
      <c r="D2" s="4" t="s">
        <v>18</v>
      </c>
      <c r="E2" s="2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/>
      <c r="K2" s="2" t="s">
        <v>24</v>
      </c>
      <c r="L2" s="2" t="s">
        <v>25</v>
      </c>
      <c r="M2" s="4"/>
      <c r="N2" s="4"/>
      <c r="O2" s="4"/>
    </row>
    <row r="3" customFormat="false" ht="35.05" hidden="false" customHeight="false" outlineLevel="0" collapsed="false">
      <c r="A3" s="2" t="s">
        <v>26</v>
      </c>
      <c r="B3" s="2" t="s">
        <v>27</v>
      </c>
      <c r="C3" s="3" t="s">
        <v>17</v>
      </c>
      <c r="D3" s="4" t="s">
        <v>28</v>
      </c>
      <c r="E3" s="2" t="s">
        <v>19</v>
      </c>
      <c r="F3" s="4" t="s">
        <v>29</v>
      </c>
      <c r="G3" s="4" t="s">
        <v>30</v>
      </c>
      <c r="H3" s="4" t="s">
        <v>31</v>
      </c>
      <c r="I3" s="4" t="s">
        <v>32</v>
      </c>
      <c r="J3" s="4"/>
      <c r="K3" s="2" t="s">
        <v>24</v>
      </c>
      <c r="L3" s="2" t="s">
        <v>25</v>
      </c>
      <c r="M3" s="4"/>
      <c r="N3" s="4"/>
      <c r="O3" s="4"/>
    </row>
    <row r="4" customFormat="false" ht="23.85" hidden="false" customHeight="false" outlineLevel="0" collapsed="false">
      <c r="A4" s="2" t="s">
        <v>33</v>
      </c>
      <c r="B4" s="2" t="s">
        <v>34</v>
      </c>
      <c r="C4" s="3" t="s">
        <v>17</v>
      </c>
      <c r="D4" s="4" t="s">
        <v>35</v>
      </c>
      <c r="E4" s="2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4"/>
      <c r="K4" s="2" t="s">
        <v>24</v>
      </c>
      <c r="L4" s="2" t="s">
        <v>25</v>
      </c>
      <c r="M4" s="4"/>
      <c r="N4" s="4"/>
      <c r="O4" s="4"/>
    </row>
    <row r="5" customFormat="false" ht="35.05" hidden="false" customHeight="false" outlineLevel="0" collapsed="false">
      <c r="A5" s="2" t="s">
        <v>41</v>
      </c>
      <c r="B5" s="2" t="s">
        <v>42</v>
      </c>
      <c r="C5" s="3" t="s">
        <v>17</v>
      </c>
      <c r="D5" s="4" t="s">
        <v>43</v>
      </c>
      <c r="E5" s="2" t="s">
        <v>44</v>
      </c>
      <c r="F5" s="4" t="s">
        <v>45</v>
      </c>
      <c r="G5" s="4" t="s">
        <v>46</v>
      </c>
      <c r="H5" s="4" t="s">
        <v>47</v>
      </c>
      <c r="I5" s="4" t="s">
        <v>48</v>
      </c>
      <c r="J5" s="4"/>
      <c r="K5" s="2" t="s">
        <v>24</v>
      </c>
      <c r="L5" s="2" t="s">
        <v>25</v>
      </c>
      <c r="M5" s="4"/>
      <c r="N5" s="4"/>
      <c r="O5" s="4"/>
    </row>
    <row r="6" customFormat="false" ht="46.25" hidden="false" customHeight="false" outlineLevel="0" collapsed="false">
      <c r="A6" s="2" t="s">
        <v>49</v>
      </c>
      <c r="B6" s="2" t="s">
        <v>50</v>
      </c>
      <c r="C6" s="3" t="s">
        <v>17</v>
      </c>
      <c r="D6" s="4" t="s">
        <v>51</v>
      </c>
      <c r="E6" s="2" t="s">
        <v>52</v>
      </c>
      <c r="F6" s="4" t="s">
        <v>53</v>
      </c>
      <c r="G6" s="4" t="s">
        <v>54</v>
      </c>
      <c r="H6" s="4" t="s">
        <v>55</v>
      </c>
      <c r="I6" s="4" t="s">
        <v>56</v>
      </c>
      <c r="J6" s="4"/>
      <c r="K6" s="2" t="s">
        <v>24</v>
      </c>
      <c r="L6" s="2" t="s">
        <v>57</v>
      </c>
      <c r="M6" s="4"/>
      <c r="N6" s="4"/>
      <c r="O6" s="4"/>
    </row>
    <row r="7" customFormat="false" ht="35.05" hidden="false" customHeight="false" outlineLevel="0" collapsed="false">
      <c r="A7" s="2" t="s">
        <v>58</v>
      </c>
      <c r="B7" s="2" t="s">
        <v>59</v>
      </c>
      <c r="C7" s="3" t="s">
        <v>17</v>
      </c>
      <c r="D7" s="4" t="s">
        <v>60</v>
      </c>
      <c r="E7" s="2" t="s">
        <v>44</v>
      </c>
      <c r="F7" s="4" t="s">
        <v>61</v>
      </c>
      <c r="G7" s="4" t="s">
        <v>62</v>
      </c>
      <c r="H7" s="4" t="s">
        <v>63</v>
      </c>
      <c r="I7" s="4" t="s">
        <v>64</v>
      </c>
      <c r="J7" s="4"/>
      <c r="K7" s="2" t="s">
        <v>24</v>
      </c>
      <c r="L7" s="2" t="s">
        <v>25</v>
      </c>
      <c r="M7" s="4"/>
      <c r="N7" s="4"/>
      <c r="O7" s="4"/>
    </row>
    <row r="8" customFormat="false" ht="23.85" hidden="false" customHeight="false" outlineLevel="0" collapsed="false">
      <c r="A8" s="2" t="s">
        <v>65</v>
      </c>
      <c r="B8" s="2" t="s">
        <v>66</v>
      </c>
      <c r="C8" s="3" t="s">
        <v>17</v>
      </c>
      <c r="D8" s="4" t="s">
        <v>67</v>
      </c>
      <c r="E8" s="2" t="s">
        <v>68</v>
      </c>
      <c r="F8" s="4" t="s">
        <v>69</v>
      </c>
      <c r="G8" s="4" t="s">
        <v>70</v>
      </c>
      <c r="H8" s="4" t="s">
        <v>71</v>
      </c>
      <c r="I8" s="4" t="s">
        <v>72</v>
      </c>
      <c r="J8" s="4"/>
      <c r="K8" s="2" t="s">
        <v>24</v>
      </c>
      <c r="L8" s="2" t="s">
        <v>25</v>
      </c>
      <c r="M8" s="4"/>
      <c r="N8" s="4"/>
      <c r="O8" s="4"/>
    </row>
    <row r="9" customFormat="false" ht="23.85" hidden="false" customHeight="false" outlineLevel="0" collapsed="false">
      <c r="A9" s="2" t="s">
        <v>73</v>
      </c>
      <c r="B9" s="2" t="s">
        <v>74</v>
      </c>
      <c r="C9" s="3" t="s">
        <v>17</v>
      </c>
      <c r="D9" s="4" t="s">
        <v>75</v>
      </c>
      <c r="E9" s="2" t="s">
        <v>68</v>
      </c>
      <c r="F9" s="4" t="s">
        <v>76</v>
      </c>
      <c r="G9" s="4" t="s">
        <v>77</v>
      </c>
      <c r="H9" s="4" t="s">
        <v>71</v>
      </c>
      <c r="I9" s="4" t="s">
        <v>78</v>
      </c>
      <c r="J9" s="4"/>
      <c r="K9" s="2" t="s">
        <v>24</v>
      </c>
      <c r="L9" s="2" t="s">
        <v>25</v>
      </c>
      <c r="M9" s="4"/>
      <c r="N9" s="4"/>
      <c r="O9" s="4"/>
    </row>
    <row r="10" customFormat="false" ht="35.05" hidden="false" customHeight="false" outlineLevel="0" collapsed="false">
      <c r="A10" s="2" t="s">
        <v>79</v>
      </c>
      <c r="B10" s="2" t="s">
        <v>80</v>
      </c>
      <c r="C10" s="3" t="s">
        <v>17</v>
      </c>
      <c r="D10" s="4" t="s">
        <v>81</v>
      </c>
      <c r="E10" s="2" t="s">
        <v>82</v>
      </c>
      <c r="F10" s="4" t="s">
        <v>83</v>
      </c>
      <c r="G10" s="4" t="s">
        <v>84</v>
      </c>
      <c r="H10" s="4" t="s">
        <v>85</v>
      </c>
      <c r="I10" s="4" t="s">
        <v>86</v>
      </c>
      <c r="J10" s="4"/>
      <c r="K10" s="2" t="s">
        <v>24</v>
      </c>
      <c r="L10" s="2" t="s">
        <v>57</v>
      </c>
      <c r="M10" s="4"/>
      <c r="N10" s="4"/>
      <c r="O10" s="4"/>
    </row>
    <row r="11" customFormat="false" ht="23.85" hidden="false" customHeight="false" outlineLevel="0" collapsed="false">
      <c r="A11" s="2" t="s">
        <v>87</v>
      </c>
      <c r="B11" s="2" t="s">
        <v>88</v>
      </c>
      <c r="C11" s="3" t="s">
        <v>17</v>
      </c>
      <c r="D11" s="4" t="s">
        <v>89</v>
      </c>
      <c r="E11" s="2" t="s">
        <v>90</v>
      </c>
      <c r="F11" s="4" t="s">
        <v>91</v>
      </c>
      <c r="G11" s="4" t="s">
        <v>92</v>
      </c>
      <c r="H11" s="4" t="s">
        <v>93</v>
      </c>
      <c r="I11" s="4" t="s">
        <v>94</v>
      </c>
      <c r="J11" s="4"/>
      <c r="K11" s="2" t="s">
        <v>24</v>
      </c>
      <c r="L11" s="2" t="s">
        <v>57</v>
      </c>
      <c r="M11" s="4"/>
      <c r="N11" s="4"/>
      <c r="O11" s="4"/>
    </row>
    <row r="12" customFormat="false" ht="23.85" hidden="false" customHeight="false" outlineLevel="0" collapsed="false">
      <c r="A12" s="2" t="s">
        <v>95</v>
      </c>
      <c r="B12" s="2" t="s">
        <v>96</v>
      </c>
      <c r="C12" s="3" t="s">
        <v>17</v>
      </c>
      <c r="D12" s="4" t="s">
        <v>97</v>
      </c>
      <c r="E12" s="2" t="s">
        <v>90</v>
      </c>
      <c r="F12" s="4" t="s">
        <v>98</v>
      </c>
      <c r="G12" s="4" t="s">
        <v>99</v>
      </c>
      <c r="H12" s="4" t="s">
        <v>93</v>
      </c>
      <c r="I12" s="4" t="s">
        <v>100</v>
      </c>
      <c r="J12" s="4"/>
      <c r="K12" s="2" t="s">
        <v>24</v>
      </c>
      <c r="L12" s="2" t="s">
        <v>57</v>
      </c>
      <c r="M12" s="4"/>
      <c r="N12" s="4"/>
      <c r="O12" s="4"/>
    </row>
    <row r="13" customFormat="false" ht="35.05" hidden="false" customHeight="false" outlineLevel="0" collapsed="false">
      <c r="A13" s="2" t="s">
        <v>101</v>
      </c>
      <c r="B13" s="2" t="s">
        <v>102</v>
      </c>
      <c r="C13" s="3" t="s">
        <v>17</v>
      </c>
      <c r="D13" s="4" t="s">
        <v>103</v>
      </c>
      <c r="E13" s="2" t="s">
        <v>104</v>
      </c>
      <c r="F13" s="4" t="s">
        <v>61</v>
      </c>
      <c r="G13" s="4" t="s">
        <v>105</v>
      </c>
      <c r="H13" s="4" t="s">
        <v>71</v>
      </c>
      <c r="I13" s="4" t="s">
        <v>106</v>
      </c>
      <c r="J13" s="4"/>
      <c r="K13" s="2" t="s">
        <v>24</v>
      </c>
      <c r="L13" s="2" t="s">
        <v>107</v>
      </c>
      <c r="M13" s="4"/>
      <c r="N13" s="4"/>
      <c r="O13" s="4"/>
    </row>
    <row r="14" customFormat="false" ht="23.85" hidden="false" customHeight="false" outlineLevel="0" collapsed="false">
      <c r="A14" s="2" t="s">
        <v>108</v>
      </c>
      <c r="B14" s="2" t="s">
        <v>109</v>
      </c>
      <c r="C14" s="3" t="s">
        <v>17</v>
      </c>
      <c r="D14" s="4" t="s">
        <v>110</v>
      </c>
      <c r="E14" s="2" t="s">
        <v>111</v>
      </c>
      <c r="F14" s="4" t="s">
        <v>61</v>
      </c>
      <c r="G14" s="4" t="s">
        <v>112</v>
      </c>
      <c r="H14" s="4" t="s">
        <v>71</v>
      </c>
      <c r="I14" s="4" t="s">
        <v>113</v>
      </c>
      <c r="J14" s="4"/>
      <c r="K14" s="2" t="s">
        <v>24</v>
      </c>
      <c r="L14" s="2" t="s">
        <v>107</v>
      </c>
      <c r="M14" s="4"/>
      <c r="N14" s="4"/>
      <c r="O14" s="4"/>
    </row>
    <row r="15" customFormat="false" ht="15" hidden="false" customHeight="false" outlineLevel="0" collapsed="false">
      <c r="A15" s="2" t="s">
        <v>114</v>
      </c>
      <c r="B15" s="2" t="s">
        <v>115</v>
      </c>
      <c r="C15" s="3" t="s">
        <v>17</v>
      </c>
      <c r="D15" s="4" t="s">
        <v>116</v>
      </c>
      <c r="E15" s="2" t="s">
        <v>68</v>
      </c>
      <c r="F15" s="4" t="s">
        <v>117</v>
      </c>
      <c r="G15" s="4" t="s">
        <v>118</v>
      </c>
      <c r="H15" s="4" t="s">
        <v>71</v>
      </c>
      <c r="I15" s="4" t="s">
        <v>119</v>
      </c>
      <c r="J15" s="4"/>
      <c r="K15" s="2" t="s">
        <v>24</v>
      </c>
      <c r="L15" s="2" t="s">
        <v>107</v>
      </c>
      <c r="M15" s="4"/>
      <c r="N15" s="4"/>
      <c r="O15" s="4"/>
    </row>
    <row r="16" customFormat="false" ht="35.05" hidden="false" customHeight="false" outlineLevel="0" collapsed="false">
      <c r="A16" s="2" t="s">
        <v>120</v>
      </c>
      <c r="B16" s="2" t="s">
        <v>121</v>
      </c>
      <c r="C16" s="5" t="s">
        <v>122</v>
      </c>
      <c r="D16" s="4" t="s">
        <v>123</v>
      </c>
      <c r="E16" s="2" t="s">
        <v>19</v>
      </c>
      <c r="F16" s="4" t="s">
        <v>29</v>
      </c>
      <c r="G16" s="4" t="s">
        <v>124</v>
      </c>
      <c r="H16" s="4" t="s">
        <v>125</v>
      </c>
      <c r="I16" s="4" t="s">
        <v>126</v>
      </c>
      <c r="J16" s="4"/>
      <c r="K16" s="2" t="s">
        <v>24</v>
      </c>
      <c r="L16" s="2" t="s">
        <v>25</v>
      </c>
      <c r="M16" s="4"/>
      <c r="N16" s="4"/>
      <c r="O16" s="4"/>
    </row>
    <row r="17" customFormat="false" ht="35.05" hidden="false" customHeight="false" outlineLevel="0" collapsed="false">
      <c r="A17" s="2" t="s">
        <v>127</v>
      </c>
      <c r="B17" s="2" t="s">
        <v>128</v>
      </c>
      <c r="C17" s="5" t="s">
        <v>122</v>
      </c>
      <c r="D17" s="4" t="s">
        <v>129</v>
      </c>
      <c r="E17" s="2" t="s">
        <v>19</v>
      </c>
      <c r="F17" s="4" t="s">
        <v>29</v>
      </c>
      <c r="G17" s="4" t="s">
        <v>130</v>
      </c>
      <c r="H17" s="4" t="s">
        <v>131</v>
      </c>
      <c r="I17" s="4" t="s">
        <v>132</v>
      </c>
      <c r="J17" s="4"/>
      <c r="K17" s="2" t="s">
        <v>24</v>
      </c>
      <c r="L17" s="2" t="s">
        <v>25</v>
      </c>
      <c r="M17" s="4"/>
      <c r="N17" s="4"/>
      <c r="O17" s="4"/>
    </row>
    <row r="18" customFormat="false" ht="35.05" hidden="false" customHeight="false" outlineLevel="0" collapsed="false">
      <c r="A18" s="2" t="s">
        <v>133</v>
      </c>
      <c r="B18" s="2" t="s">
        <v>134</v>
      </c>
      <c r="C18" s="5" t="s">
        <v>122</v>
      </c>
      <c r="D18" s="4" t="s">
        <v>135</v>
      </c>
      <c r="E18" s="2" t="s">
        <v>19</v>
      </c>
      <c r="F18" s="4" t="s">
        <v>29</v>
      </c>
      <c r="G18" s="4" t="s">
        <v>136</v>
      </c>
      <c r="H18" s="4" t="s">
        <v>137</v>
      </c>
      <c r="I18" s="4" t="s">
        <v>138</v>
      </c>
      <c r="J18" s="4"/>
      <c r="K18" s="2" t="s">
        <v>24</v>
      </c>
      <c r="L18" s="2" t="s">
        <v>25</v>
      </c>
      <c r="M18" s="4"/>
      <c r="N18" s="4"/>
      <c r="O18" s="4"/>
    </row>
    <row r="19" customFormat="false" ht="23.85" hidden="false" customHeight="false" outlineLevel="0" collapsed="false">
      <c r="A19" s="2" t="s">
        <v>139</v>
      </c>
      <c r="B19" s="2" t="s">
        <v>140</v>
      </c>
      <c r="C19" s="5" t="s">
        <v>122</v>
      </c>
      <c r="D19" s="4" t="s">
        <v>141</v>
      </c>
      <c r="E19" s="2" t="s">
        <v>19</v>
      </c>
      <c r="F19" s="4" t="s">
        <v>29</v>
      </c>
      <c r="G19" s="4" t="s">
        <v>142</v>
      </c>
      <c r="H19" s="4" t="s">
        <v>143</v>
      </c>
      <c r="I19" s="4" t="s">
        <v>144</v>
      </c>
      <c r="J19" s="4"/>
      <c r="K19" s="2" t="s">
        <v>24</v>
      </c>
      <c r="L19" s="2" t="s">
        <v>25</v>
      </c>
      <c r="M19" s="4"/>
      <c r="N19" s="4"/>
      <c r="O19" s="4"/>
    </row>
    <row r="20" customFormat="false" ht="35.05" hidden="false" customHeight="false" outlineLevel="0" collapsed="false">
      <c r="A20" s="2" t="s">
        <v>145</v>
      </c>
      <c r="B20" s="2" t="s">
        <v>146</v>
      </c>
      <c r="C20" s="5" t="s">
        <v>122</v>
      </c>
      <c r="D20" s="4" t="s">
        <v>147</v>
      </c>
      <c r="E20" s="2" t="s">
        <v>148</v>
      </c>
      <c r="F20" s="4" t="s">
        <v>29</v>
      </c>
      <c r="G20" s="4" t="s">
        <v>149</v>
      </c>
      <c r="H20" s="4" t="s">
        <v>150</v>
      </c>
      <c r="I20" s="4" t="s">
        <v>151</v>
      </c>
      <c r="J20" s="4"/>
      <c r="K20" s="2" t="s">
        <v>24</v>
      </c>
      <c r="L20" s="2" t="s">
        <v>57</v>
      </c>
      <c r="M20" s="4"/>
      <c r="N20" s="4"/>
      <c r="O20" s="4"/>
    </row>
    <row r="21" customFormat="false" ht="35.05" hidden="false" customHeight="false" outlineLevel="0" collapsed="false">
      <c r="A21" s="2" t="s">
        <v>152</v>
      </c>
      <c r="B21" s="2" t="s">
        <v>153</v>
      </c>
      <c r="C21" s="5" t="s">
        <v>122</v>
      </c>
      <c r="D21" s="4" t="s">
        <v>154</v>
      </c>
      <c r="E21" s="2" t="s">
        <v>19</v>
      </c>
      <c r="F21" s="4" t="s">
        <v>29</v>
      </c>
      <c r="G21" s="4" t="s">
        <v>155</v>
      </c>
      <c r="H21" s="4" t="s">
        <v>137</v>
      </c>
      <c r="I21" s="4" t="s">
        <v>156</v>
      </c>
      <c r="J21" s="4"/>
      <c r="K21" s="2" t="s">
        <v>24</v>
      </c>
      <c r="L21" s="2" t="s">
        <v>57</v>
      </c>
      <c r="M21" s="4"/>
      <c r="N21" s="4"/>
      <c r="O21" s="4"/>
    </row>
    <row r="22" customFormat="false" ht="57.45" hidden="false" customHeight="false" outlineLevel="0" collapsed="false">
      <c r="A22" s="2" t="s">
        <v>157</v>
      </c>
      <c r="B22" s="2" t="s">
        <v>158</v>
      </c>
      <c r="C22" s="5" t="s">
        <v>122</v>
      </c>
      <c r="D22" s="4" t="s">
        <v>159</v>
      </c>
      <c r="E22" s="2" t="s">
        <v>52</v>
      </c>
      <c r="F22" s="4" t="s">
        <v>160</v>
      </c>
      <c r="G22" s="4" t="s">
        <v>161</v>
      </c>
      <c r="H22" s="4" t="s">
        <v>162</v>
      </c>
      <c r="I22" s="4" t="s">
        <v>163</v>
      </c>
      <c r="J22" s="4"/>
      <c r="K22" s="2" t="s">
        <v>24</v>
      </c>
      <c r="L22" s="2" t="s">
        <v>57</v>
      </c>
      <c r="M22" s="4"/>
      <c r="N22" s="4"/>
      <c r="O22" s="4"/>
    </row>
    <row r="23" customFormat="false" ht="35.05" hidden="false" customHeight="false" outlineLevel="0" collapsed="false">
      <c r="A23" s="2" t="s">
        <v>164</v>
      </c>
      <c r="B23" s="2" t="s">
        <v>165</v>
      </c>
      <c r="C23" s="5" t="s">
        <v>122</v>
      </c>
      <c r="D23" s="4" t="s">
        <v>166</v>
      </c>
      <c r="E23" s="2" t="s">
        <v>19</v>
      </c>
      <c r="F23" s="4" t="s">
        <v>167</v>
      </c>
      <c r="G23" s="4" t="s">
        <v>168</v>
      </c>
      <c r="H23" s="4" t="s">
        <v>169</v>
      </c>
      <c r="I23" s="4" t="s">
        <v>170</v>
      </c>
      <c r="J23" s="4"/>
      <c r="K23" s="2" t="s">
        <v>24</v>
      </c>
      <c r="L23" s="2" t="s">
        <v>57</v>
      </c>
      <c r="M23" s="4"/>
      <c r="N23" s="4"/>
      <c r="O23" s="4"/>
    </row>
    <row r="24" customFormat="false" ht="23.85" hidden="false" customHeight="false" outlineLevel="0" collapsed="false">
      <c r="A24" s="2" t="s">
        <v>171</v>
      </c>
      <c r="B24" s="2" t="s">
        <v>172</v>
      </c>
      <c r="C24" s="5" t="s">
        <v>122</v>
      </c>
      <c r="D24" s="4" t="s">
        <v>173</v>
      </c>
      <c r="E24" s="2" t="s">
        <v>90</v>
      </c>
      <c r="F24" s="4" t="s">
        <v>174</v>
      </c>
      <c r="G24" s="4" t="s">
        <v>175</v>
      </c>
      <c r="H24" s="4" t="s">
        <v>93</v>
      </c>
      <c r="I24" s="4" t="s">
        <v>176</v>
      </c>
      <c r="J24" s="4"/>
      <c r="K24" s="2" t="s">
        <v>24</v>
      </c>
      <c r="L24" s="2" t="s">
        <v>25</v>
      </c>
      <c r="M24" s="4"/>
      <c r="N24" s="4"/>
      <c r="O24" s="4"/>
    </row>
    <row r="25" customFormat="false" ht="23.85" hidden="false" customHeight="false" outlineLevel="0" collapsed="false">
      <c r="A25" s="2" t="s">
        <v>177</v>
      </c>
      <c r="B25" s="2" t="s">
        <v>178</v>
      </c>
      <c r="C25" s="5" t="s">
        <v>122</v>
      </c>
      <c r="D25" s="4" t="s">
        <v>179</v>
      </c>
      <c r="E25" s="2" t="s">
        <v>68</v>
      </c>
      <c r="F25" s="4" t="s">
        <v>180</v>
      </c>
      <c r="G25" s="4" t="s">
        <v>181</v>
      </c>
      <c r="H25" s="4" t="s">
        <v>182</v>
      </c>
      <c r="I25" s="4" t="s">
        <v>183</v>
      </c>
      <c r="J25" s="4"/>
      <c r="K25" s="2" t="s">
        <v>24</v>
      </c>
      <c r="L25" s="2" t="s">
        <v>57</v>
      </c>
      <c r="M25" s="4"/>
      <c r="N25" s="4"/>
      <c r="O25" s="4"/>
    </row>
    <row r="26" customFormat="false" ht="46.25" hidden="false" customHeight="false" outlineLevel="0" collapsed="false">
      <c r="A26" s="2" t="s">
        <v>184</v>
      </c>
      <c r="B26" s="2" t="s">
        <v>185</v>
      </c>
      <c r="C26" s="6" t="s">
        <v>186</v>
      </c>
      <c r="D26" s="4" t="s">
        <v>187</v>
      </c>
      <c r="E26" s="2" t="s">
        <v>19</v>
      </c>
      <c r="F26" s="4" t="s">
        <v>29</v>
      </c>
      <c r="G26" s="4" t="s">
        <v>188</v>
      </c>
      <c r="H26" s="4" t="s">
        <v>189</v>
      </c>
      <c r="I26" s="4" t="s">
        <v>190</v>
      </c>
      <c r="J26" s="4"/>
      <c r="K26" s="2" t="s">
        <v>24</v>
      </c>
      <c r="L26" s="2" t="s">
        <v>107</v>
      </c>
      <c r="M26" s="4"/>
      <c r="N26" s="4"/>
      <c r="O26" s="4"/>
    </row>
    <row r="27" customFormat="false" ht="35.05" hidden="false" customHeight="false" outlineLevel="0" collapsed="false">
      <c r="A27" s="2" t="s">
        <v>191</v>
      </c>
      <c r="B27" s="2" t="s">
        <v>192</v>
      </c>
      <c r="C27" s="6" t="s">
        <v>186</v>
      </c>
      <c r="D27" s="4" t="s">
        <v>193</v>
      </c>
      <c r="E27" s="2" t="s">
        <v>19</v>
      </c>
      <c r="F27" s="4" t="s">
        <v>29</v>
      </c>
      <c r="G27" s="4" t="s">
        <v>194</v>
      </c>
      <c r="H27" s="4" t="s">
        <v>195</v>
      </c>
      <c r="I27" s="4" t="s">
        <v>196</v>
      </c>
      <c r="J27" s="4"/>
      <c r="K27" s="2" t="s">
        <v>24</v>
      </c>
      <c r="L27" s="2" t="s">
        <v>107</v>
      </c>
      <c r="M27" s="4"/>
      <c r="N27" s="4"/>
      <c r="O27" s="4"/>
    </row>
    <row r="28" customFormat="false" ht="35.05" hidden="false" customHeight="false" outlineLevel="0" collapsed="false">
      <c r="A28" s="2" t="s">
        <v>197</v>
      </c>
      <c r="B28" s="2" t="s">
        <v>198</v>
      </c>
      <c r="C28" s="6" t="s">
        <v>186</v>
      </c>
      <c r="D28" s="4" t="s">
        <v>199</v>
      </c>
      <c r="E28" s="2" t="s">
        <v>19</v>
      </c>
      <c r="F28" s="4" t="s">
        <v>29</v>
      </c>
      <c r="G28" s="4" t="s">
        <v>200</v>
      </c>
      <c r="H28" s="4" t="s">
        <v>201</v>
      </c>
      <c r="I28" s="4" t="s">
        <v>202</v>
      </c>
      <c r="J28" s="4"/>
      <c r="K28" s="2" t="s">
        <v>24</v>
      </c>
      <c r="L28" s="2" t="s">
        <v>57</v>
      </c>
      <c r="M28" s="4"/>
      <c r="N28" s="4"/>
      <c r="O28" s="4"/>
    </row>
    <row r="29" customFormat="false" ht="35.05" hidden="false" customHeight="false" outlineLevel="0" collapsed="false">
      <c r="A29" s="2" t="s">
        <v>203</v>
      </c>
      <c r="B29" s="2" t="s">
        <v>204</v>
      </c>
      <c r="C29" s="6" t="s">
        <v>186</v>
      </c>
      <c r="D29" s="4" t="s">
        <v>205</v>
      </c>
      <c r="E29" s="2" t="s">
        <v>44</v>
      </c>
      <c r="F29" s="4" t="s">
        <v>206</v>
      </c>
      <c r="G29" s="4" t="s">
        <v>207</v>
      </c>
      <c r="H29" s="4" t="s">
        <v>208</v>
      </c>
      <c r="I29" s="4" t="s">
        <v>209</v>
      </c>
      <c r="J29" s="4"/>
      <c r="K29" s="2" t="s">
        <v>24</v>
      </c>
      <c r="L29" s="2" t="s">
        <v>57</v>
      </c>
      <c r="M29" s="4"/>
      <c r="N29" s="4"/>
      <c r="O29" s="4"/>
    </row>
    <row r="30" customFormat="false" ht="35.05" hidden="false" customHeight="false" outlineLevel="0" collapsed="false">
      <c r="A30" s="2" t="s">
        <v>210</v>
      </c>
      <c r="B30" s="2" t="s">
        <v>211</v>
      </c>
      <c r="C30" s="6" t="s">
        <v>186</v>
      </c>
      <c r="D30" s="4" t="s">
        <v>212</v>
      </c>
      <c r="E30" s="2" t="s">
        <v>44</v>
      </c>
      <c r="F30" s="4" t="s">
        <v>213</v>
      </c>
      <c r="G30" s="4" t="s">
        <v>214</v>
      </c>
      <c r="H30" s="4" t="s">
        <v>215</v>
      </c>
      <c r="I30" s="4" t="s">
        <v>216</v>
      </c>
      <c r="J30" s="4"/>
      <c r="K30" s="2" t="s">
        <v>24</v>
      </c>
      <c r="L30" s="2" t="s">
        <v>57</v>
      </c>
      <c r="M30" s="4"/>
      <c r="N30" s="4"/>
      <c r="O30" s="4"/>
    </row>
    <row r="31" customFormat="false" ht="35.05" hidden="false" customHeight="false" outlineLevel="0" collapsed="false">
      <c r="A31" s="2" t="s">
        <v>217</v>
      </c>
      <c r="B31" s="2" t="s">
        <v>218</v>
      </c>
      <c r="C31" s="6" t="s">
        <v>186</v>
      </c>
      <c r="D31" s="4" t="s">
        <v>219</v>
      </c>
      <c r="E31" s="2" t="s">
        <v>220</v>
      </c>
      <c r="F31" s="4" t="s">
        <v>221</v>
      </c>
      <c r="G31" s="4" t="s">
        <v>222</v>
      </c>
      <c r="H31" s="4" t="s">
        <v>223</v>
      </c>
      <c r="I31" s="4" t="s">
        <v>224</v>
      </c>
      <c r="J31" s="4"/>
      <c r="K31" s="2" t="s">
        <v>24</v>
      </c>
      <c r="L31" s="2" t="s">
        <v>57</v>
      </c>
      <c r="M31" s="4"/>
      <c r="N31" s="4"/>
      <c r="O31" s="4"/>
    </row>
    <row r="32" customFormat="false" ht="23.85" hidden="false" customHeight="false" outlineLevel="0" collapsed="false">
      <c r="A32" s="2" t="s">
        <v>225</v>
      </c>
      <c r="B32" s="2" t="s">
        <v>226</v>
      </c>
      <c r="C32" s="6" t="s">
        <v>186</v>
      </c>
      <c r="D32" s="4" t="s">
        <v>227</v>
      </c>
      <c r="E32" s="2" t="s">
        <v>68</v>
      </c>
      <c r="F32" s="4" t="s">
        <v>228</v>
      </c>
      <c r="G32" s="4" t="s">
        <v>229</v>
      </c>
      <c r="H32" s="4" t="s">
        <v>230</v>
      </c>
      <c r="I32" s="4" t="s">
        <v>231</v>
      </c>
      <c r="J32" s="4"/>
      <c r="K32" s="2" t="s">
        <v>24</v>
      </c>
      <c r="L32" s="2" t="s">
        <v>57</v>
      </c>
      <c r="M32" s="4"/>
      <c r="N32" s="4"/>
      <c r="O32" s="4"/>
    </row>
    <row r="33" customFormat="false" ht="46.25" hidden="false" customHeight="false" outlineLevel="0" collapsed="false">
      <c r="A33" s="2" t="s">
        <v>232</v>
      </c>
      <c r="B33" s="2" t="s">
        <v>233</v>
      </c>
      <c r="C33" s="6" t="s">
        <v>186</v>
      </c>
      <c r="D33" s="4" t="s">
        <v>234</v>
      </c>
      <c r="E33" s="2" t="s">
        <v>220</v>
      </c>
      <c r="F33" s="4" t="s">
        <v>235</v>
      </c>
      <c r="G33" s="4" t="s">
        <v>236</v>
      </c>
      <c r="H33" s="4" t="s">
        <v>237</v>
      </c>
      <c r="I33" s="4" t="s">
        <v>238</v>
      </c>
      <c r="J33" s="4"/>
      <c r="K33" s="2" t="s">
        <v>24</v>
      </c>
      <c r="L33" s="2" t="s">
        <v>57</v>
      </c>
      <c r="M33" s="4"/>
      <c r="N33" s="4"/>
      <c r="O33" s="4"/>
    </row>
    <row r="34" customFormat="false" ht="35.05" hidden="false" customHeight="false" outlineLevel="0" collapsed="false">
      <c r="A34" s="2" t="s">
        <v>239</v>
      </c>
      <c r="B34" s="2" t="s">
        <v>240</v>
      </c>
      <c r="C34" s="6" t="s">
        <v>186</v>
      </c>
      <c r="D34" s="4" t="s">
        <v>241</v>
      </c>
      <c r="E34" s="2" t="s">
        <v>242</v>
      </c>
      <c r="F34" s="4" t="s">
        <v>243</v>
      </c>
      <c r="G34" s="4" t="s">
        <v>244</v>
      </c>
      <c r="H34" s="4" t="s">
        <v>245</v>
      </c>
      <c r="I34" s="4" t="s">
        <v>246</v>
      </c>
      <c r="J34" s="4"/>
      <c r="K34" s="2" t="s">
        <v>24</v>
      </c>
      <c r="L34" s="2" t="s">
        <v>107</v>
      </c>
      <c r="M34" s="4"/>
      <c r="N34" s="4"/>
      <c r="O34" s="4"/>
    </row>
    <row r="35" customFormat="false" ht="35.05" hidden="false" customHeight="false" outlineLevel="0" collapsed="false">
      <c r="A35" s="2" t="s">
        <v>247</v>
      </c>
      <c r="B35" s="2" t="s">
        <v>248</v>
      </c>
      <c r="C35" s="6" t="s">
        <v>186</v>
      </c>
      <c r="D35" s="4" t="s">
        <v>249</v>
      </c>
      <c r="E35" s="2" t="s">
        <v>82</v>
      </c>
      <c r="F35" s="4" t="s">
        <v>250</v>
      </c>
      <c r="G35" s="4" t="s">
        <v>251</v>
      </c>
      <c r="H35" s="4" t="s">
        <v>252</v>
      </c>
      <c r="I35" s="4" t="s">
        <v>253</v>
      </c>
      <c r="J35" s="4"/>
      <c r="K35" s="2" t="s">
        <v>24</v>
      </c>
      <c r="L35" s="2" t="s">
        <v>107</v>
      </c>
      <c r="M35" s="4"/>
      <c r="N35" s="4"/>
      <c r="O35" s="4"/>
    </row>
  </sheetData>
  <autoFilter ref="A1:O35"/>
  <dataValidations count="1">
    <dataValidation allowBlank="true" errorStyle="stop" operator="between" showDropDown="false" showErrorMessage="false" showInputMessage="false" sqref="K2:K35" type="list">
      <formula1>"Not Executed,Pass,Fail,Blocked,Skipped"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7" t="s">
        <v>254</v>
      </c>
      <c r="B1" s="7"/>
      <c r="C1" s="7"/>
    </row>
    <row r="3" customFormat="false" ht="15" hidden="false" customHeight="false" outlineLevel="0" collapsed="false">
      <c r="A3" s="8" t="s">
        <v>2</v>
      </c>
      <c r="B3" s="9" t="s">
        <v>255</v>
      </c>
    </row>
    <row r="4" customFormat="false" ht="15" hidden="false" customHeight="false" outlineLevel="0" collapsed="false">
      <c r="A4" s="9" t="s">
        <v>17</v>
      </c>
      <c r="B4" s="9" t="n">
        <f aca="false">COUNTIF(Checkout_Test_Cases!C2:C35,"Positive")</f>
        <v>14</v>
      </c>
    </row>
    <row r="5" customFormat="false" ht="15" hidden="false" customHeight="false" outlineLevel="0" collapsed="false">
      <c r="A5" s="9" t="s">
        <v>122</v>
      </c>
      <c r="B5" s="9" t="n">
        <f aca="false">COUNTIF(Checkout_Test_Cases!C2:C35,"Negative")</f>
        <v>10</v>
      </c>
    </row>
    <row r="6" customFormat="false" ht="15" hidden="false" customHeight="false" outlineLevel="0" collapsed="false">
      <c r="A6" s="9" t="s">
        <v>186</v>
      </c>
      <c r="B6" s="9" t="n">
        <f aca="false">COUNTIF(Checkout_Test_Cases!C2:C35,"Edge Case")</f>
        <v>10</v>
      </c>
    </row>
    <row r="7" customFormat="false" ht="15" hidden="false" customHeight="false" outlineLevel="0" collapsed="false">
      <c r="A7" s="9" t="s">
        <v>256</v>
      </c>
      <c r="B7" s="9" t="n">
        <f aca="false">COUNTA(Checkout_Test_Cases!A2:A35)</f>
        <v>34</v>
      </c>
    </row>
    <row r="9" customFormat="false" ht="15" hidden="false" customHeight="false" outlineLevel="0" collapsed="false">
      <c r="A9" s="10" t="s">
        <v>257</v>
      </c>
    </row>
    <row r="10" customFormat="false" ht="15" hidden="false" customHeight="false" outlineLevel="0" collapsed="false">
      <c r="A10" s="8" t="s">
        <v>10</v>
      </c>
      <c r="B10" s="9" t="s">
        <v>255</v>
      </c>
    </row>
    <row r="11" customFormat="false" ht="15" hidden="false" customHeight="false" outlineLevel="0" collapsed="false">
      <c r="A11" s="9" t="s">
        <v>258</v>
      </c>
      <c r="B11" s="9" t="n">
        <f aca="false">COUNTIF(Checkout_Test_Cases!K2:K35,"Pass")</f>
        <v>0</v>
      </c>
    </row>
    <row r="12" customFormat="false" ht="15" hidden="false" customHeight="false" outlineLevel="0" collapsed="false">
      <c r="A12" s="9" t="s">
        <v>259</v>
      </c>
      <c r="B12" s="9" t="n">
        <f aca="false">COUNTIF(Checkout_Test_Cases!K2:K35,"Fail")</f>
        <v>0</v>
      </c>
    </row>
    <row r="13" customFormat="false" ht="15" hidden="false" customHeight="false" outlineLevel="0" collapsed="false">
      <c r="A13" s="9" t="s">
        <v>260</v>
      </c>
      <c r="B13" s="9" t="n">
        <f aca="false">COUNTIF(Checkout_Test_Cases!K2:K35,"Blocked")</f>
        <v>0</v>
      </c>
    </row>
    <row r="14" customFormat="false" ht="15" hidden="false" customHeight="false" outlineLevel="0" collapsed="false">
      <c r="A14" s="9" t="s">
        <v>24</v>
      </c>
      <c r="B14" s="9" t="n">
        <f aca="false">COUNTIF(Checkout_Test_Cases!K2:K35,"Not Executed")</f>
        <v>34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2026-07-18T14:45:36Z</dcterms:created>
  <dc:creator>openpyxl</dc:creator>
  <dc:description/>
  <dc:language>en-US</dc:language>
  <cp:lastModifiedBy/>
  <dcterms:modified xsi:type="dcterms:W3CDTF">2026-07-18T14:45:36Z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
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FR_Test_Cases" sheetId="1" state="visible" r:id="rId3"/>
    <sheet name="Summary" sheetId="2" state="visible" r:id="rId4"/>
  </sheets>
  <definedNames>
    <definedName function="false" hidden="true" localSheetId="0" name="_xlnm._FilterDatabase" vbProcedure="false">NFR_Test_Cases!$A$1:$P$42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<sst xmlns="http://schemas.openxmlformats.org/spreadsheetml/2006/main" count="530" uniqueCount="294">
  <si>
    <t xml:space="preserve">Test Case ID</t>
  </si>
  <si>
    <t xml:space="preserve">Scenario ID</t>
  </si>
  <si>
    <t xml:space="preserve">NFR Area</t>
  </si>
  <si>
    <t xml:space="preserve">Category</t>
  </si>
  <si>
    <t xml:space="preserve">Test Case Title</t>
  </si>
  <si>
    <t xml:space="preserve">Related Req ID</t>
  </si>
  <si>
    <t xml:space="preserve">Test Area / Page</t>
  </si>
  <si>
    <t xml:space="preserve">Preconditions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</si>
  <si>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</si>
  <si>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</si>
  <si>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</si>
  <si>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</si>
  <si>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</si>
  <si>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Executed By</t>
  </si>
  <si>
    <t xml:space="preserve">Date</t>
  </si>
  <si>
    <t xml:space="preserve">Defect ID / Remarks</t>
  </si>
  <si>
    <t xml:space="preserve">TC-NFR-001</t>
  </si>
  <si>
    <t xml:space="preserve">TS-NFR-001</t>
  </si>
  <si>
    <t xml:space="preserve">Performance</t>
  </si>
  <si>
    <t xml:space="preserve">Positive</t>
  </si>
  <si>
    <t xml:space="preserve">Login completes within 2 seconds</t>
  </si>
  <si>
    <t xml:space="preserve">NFR-01</t>
  </si>
  <si>
    <t xml:space="preserve">Login page</t>
  </si>
  <si>
    <t xml:space="preserve">Normal network conditions; user on Login page</t>
  </si>
  <si>
    <t xml:space="preserve">1. Enter valid credentials
2. Click Login
3. Measure time from click to Inventory page fully loaded</t>
  </si>
  <si>
    <t xml:space="preserve">Total time is under 2 seconds</t>
  </si>
  <si>
    <t xml:space="preserve">Not Executed</t>
  </si>
  <si>
    <t xml:space="preserve">Medium</t>
  </si>
  <si>
    <t xml:space="preserve">TC-NFR-002</t>
  </si>
  <si>
    <t xml:space="preserve">TS-NFR-002</t>
  </si>
  <si>
    <t xml:space="preserve">GET /products responds within 1 second</t>
  </si>
  <si>
    <t xml:space="preserve">NFR-04</t>
  </si>
  <si>
    <t xml:space="preserve">Fake Store API</t>
  </si>
  <si>
    <t xml:space="preserve">API is reachable; normal load</t>
  </si>
  <si>
    <t xml:space="preserve">1. Send GET /products
2. Measure response time</t>
  </si>
  <si>
    <t xml:space="preserve">Response returns within 1 second</t>
  </si>
  <si>
    <t xml:space="preserve">TC-NFR-003</t>
  </si>
  <si>
    <t xml:space="preserve">TS-NFR-003</t>
  </si>
  <si>
    <t xml:space="preserve">GET /products/{id} responds within 1 second</t>
  </si>
  <si>
    <t xml:space="preserve">1. Send GET /products/1
2. Measure response time</t>
  </si>
  <si>
    <t xml:space="preserve">TC-NFR-004</t>
  </si>
  <si>
    <t xml:space="preserve">TS-NFR-004</t>
  </si>
  <si>
    <t xml:space="preserve">GET /carts/{id} responds within 1 second</t>
  </si>
  <si>
    <t xml:space="preserve">1. Send GET /carts/1
2. Measure response time</t>
  </si>
  <si>
    <t xml:space="preserve">TC-NFR-005</t>
  </si>
  <si>
    <t xml:space="preserve">TS-NFR-005</t>
  </si>
  <si>
    <t xml:space="preserve">Add to cart reflects in UI promptly</t>
  </si>
  <si>
    <t xml:space="preserve">Inventory page</t>
  </si>
  <si>
    <t xml:space="preserve">User is logged in, on Inventory page</t>
  </si>
  <si>
    <t xml:space="preserve">1. Click 'Add to Cart' on a product
2. Measure time until badge count updates</t>
  </si>
  <si>
    <t xml:space="preserve">Cart badge updates near-instantly (sub-second), under normal load</t>
  </si>
  <si>
    <t xml:space="preserve">Low</t>
  </si>
  <si>
    <t xml:space="preserve">TC-NFR-006</t>
  </si>
  <si>
    <t xml:space="preserve">TS-NFR-006</t>
  </si>
  <si>
    <t xml:space="preserve">Checkout Overview loads promptly</t>
  </si>
  <si>
    <t xml:space="preserve">Checkout Info page</t>
  </si>
  <si>
    <t xml:space="preserve">User has filled valid checkout info</t>
  </si>
  <si>
    <t xml:space="preserve">1. Click 'Continue'
2. Measure time until Overview page is fully rendered</t>
  </si>
  <si>
    <t xml:space="preserve">Overview page loads within an acceptable time (under 2 seconds)</t>
  </si>
  <si>
    <t xml:space="preserve">TC-NFR-007</t>
  </si>
  <si>
    <t xml:space="preserve">TS-NFR-007</t>
  </si>
  <si>
    <t xml:space="preserve">Negative</t>
  </si>
  <si>
    <t xml:space="preserve">Slow login is measurable, not silently ignored</t>
  </si>
  <si>
    <t xml:space="preserve">Network throttled to simulate delay</t>
  </si>
  <si>
    <t xml:space="preserve">1. Enter valid credentials
2. Click Login under throttled conditions
3. Observe timing/feedback</t>
  </si>
  <si>
    <t xml:space="preserve">Delay beyond 2s is observable (e.g. loading indicator); system does not silently proceed as if timing were fine</t>
  </si>
  <si>
    <t xml:space="preserve">TC-NFR-008</t>
  </si>
  <si>
    <t xml:space="preserve">TS-NFR-008</t>
  </si>
  <si>
    <t xml:space="preserve">Slow API response does not hang UI indefinitely</t>
  </si>
  <si>
    <t xml:space="preserve">NFR-01 / NFR-04</t>
  </si>
  <si>
    <t xml:space="preserve">Inventory / Cart page</t>
  </si>
  <si>
    <t xml:space="preserve">Network throttled or API delay simulated</t>
  </si>
  <si>
    <t xml:space="preserve">1. Trigger an action that calls the API under delayed conditions
2. Observe UI behavior</t>
  </si>
  <si>
    <t xml:space="preserve">A loading indicator is shown, or a timeout message appears; UI does not freeze with no feedback</t>
  </si>
  <si>
    <t xml:space="preserve">TC-NFR-009</t>
  </si>
  <si>
    <t xml:space="preserve">TS-NFR-009</t>
  </si>
  <si>
    <t xml:space="preserve">Edge Case</t>
  </si>
  <si>
    <t xml:space="preserve">Response time consistent across repeated requests</t>
  </si>
  <si>
    <t xml:space="preserve">API is reachable</t>
  </si>
  <si>
    <t xml:space="preserve">1. Send GET /products 5 times in succession
2. Record each response time</t>
  </si>
  <si>
    <t xml:space="preserve">All 5 response times remain within the 1-second threshold</t>
  </si>
  <si>
    <t xml:space="preserve">TC-NFR-010</t>
  </si>
  <si>
    <t xml:space="preserve">TS-NFR-010</t>
  </si>
  <si>
    <t xml:space="preserve">Response times consistent across separate test runs</t>
  </si>
  <si>
    <t xml:space="preserve">Login page + API</t>
  </si>
  <si>
    <t xml:space="preserve">Multiple independent test sessions</t>
  </si>
  <si>
    <t xml:space="preserve">1. Measure login time and GET /products time on Day 1
2. Repeat on Day 2
3. Compare results</t>
  </si>
  <si>
    <t xml:space="preserve">Response times are consistent across runs, no major unexplained variance</t>
  </si>
  <si>
    <t xml:space="preserve">TC-NFR-011</t>
  </si>
  <si>
    <t xml:space="preserve">TS-NFR-011</t>
  </si>
  <si>
    <t xml:space="preserve">Cross-Browser</t>
  </si>
  <si>
    <t xml:space="preserve">Login works correctly on Chrome</t>
  </si>
  <si>
    <t xml:space="preserve">NFR-02</t>
  </si>
  <si>
    <t xml:space="preserve">Latest stable Chrome installed</t>
  </si>
  <si>
    <t xml:space="preserve">1. Open the app in Chrome
2. Perform a full login with valid credentials</t>
  </si>
  <si>
    <t xml:space="preserve">Login succeeds; page renders correctly with no layout issues</t>
  </si>
  <si>
    <t xml:space="preserve">TC-NFR-012</t>
  </si>
  <si>
    <t xml:space="preserve">TS-NFR-012</t>
  </si>
  <si>
    <t xml:space="preserve">Login works correctly on Firefox</t>
  </si>
  <si>
    <t xml:space="preserve">Latest stable Firefox installed</t>
  </si>
  <si>
    <t xml:space="preserve">1. Open the app in Firefox
2. Perform a full login with valid credentials</t>
  </si>
  <si>
    <t xml:space="preserve">TC-NFR-013</t>
  </si>
  <si>
    <t xml:space="preserve">TS-NFR-013</t>
  </si>
  <si>
    <t xml:space="preserve">Catalog &amp; cart work correctly on Chrome</t>
  </si>
  <si>
    <t xml:space="preserve">Logged in via Chrome</t>
  </si>
  <si>
    <t xml:space="preserve">1. Sort products
2. Add/remove cart items
3. Observe behavior in Chrome</t>
  </si>
  <si>
    <t xml:space="preserve">Sorting and cart actions work correctly with no visual or functional issues</t>
  </si>
  <si>
    <t xml:space="preserve">TC-NFR-014</t>
  </si>
  <si>
    <t xml:space="preserve">TS-NFR-014</t>
  </si>
  <si>
    <t xml:space="preserve">Catalog &amp; cart work correctly on Firefox</t>
  </si>
  <si>
    <t xml:space="preserve">Logged in via Firefox</t>
  </si>
  <si>
    <t xml:space="preserve">1. Sort products
2. Add/remove cart items
3. Observe behavior in Firefox</t>
  </si>
  <si>
    <t xml:space="preserve">TC-NFR-015</t>
  </si>
  <si>
    <t xml:space="preserve">TS-NFR-015</t>
  </si>
  <si>
    <t xml:space="preserve">Full checkout completes on both browsers</t>
  </si>
  <si>
    <t xml:space="preserve">Full checkout flow</t>
  </si>
  <si>
    <t xml:space="preserve">Items in cart; tested once per browser</t>
  </si>
  <si>
    <t xml:space="preserve">1. Complete full checkout flow on Chrome
2. Repeat full checkout flow on Firefox</t>
  </si>
  <si>
    <t xml:space="preserve">Order completes successfully with matching behavior on both browsers</t>
  </si>
  <si>
    <t xml:space="preserve">High</t>
  </si>
  <si>
    <t xml:space="preserve">TC-NFR-016</t>
  </si>
  <si>
    <t xml:space="preserve">TS-NFR-016</t>
  </si>
  <si>
    <t xml:space="preserve">No console errors on Chrome during core flows</t>
  </si>
  <si>
    <t xml:space="preserve">Login, Cart, Checkout</t>
  </si>
  <si>
    <t xml:space="preserve">DevTools console open in Chrome</t>
  </si>
  <si>
    <t xml:space="preserve">1. Perform login, add to cart, and checkout in Chrome
2. Monitor console for errors</t>
  </si>
  <si>
    <t xml:space="preserve">No unexpected JavaScript errors appear in the console during these flows</t>
  </si>
  <si>
    <t xml:space="preserve">TC-NFR-017</t>
  </si>
  <si>
    <t xml:space="preserve">TS-NFR-017</t>
  </si>
  <si>
    <t xml:space="preserve">No console errors on Firefox during core flows</t>
  </si>
  <si>
    <t xml:space="preserve">DevTools console open in Firefox</t>
  </si>
  <si>
    <t xml:space="preserve">1. Perform login, add to cart, and checkout in Firefox
2. Monitor console for errors</t>
  </si>
  <si>
    <t xml:space="preserve">TC-NFR-018</t>
  </si>
  <si>
    <t xml:space="preserve">TS-NFR-018</t>
  </si>
  <si>
    <t xml:space="preserve">UI elements not broken on either browser</t>
  </si>
  <si>
    <t xml:space="preserve">All core pages</t>
  </si>
  <si>
    <t xml:space="preserve">Tested on both Chrome and Firefox</t>
  </si>
  <si>
    <t xml:space="preserve">1. Visually inspect buttons, dropdowns, and forms on all core pages in both browsers</t>
  </si>
  <si>
    <t xml:space="preserve">No visual misalignment, overlap, or broken styling on either browser</t>
  </si>
  <si>
    <t xml:space="preserve">TC-NFR-019</t>
  </si>
  <si>
    <t xml:space="preserve">TS-NFR-019</t>
  </si>
  <si>
    <t xml:space="preserve">Consistent behavior switching browsers in one session</t>
  </si>
  <si>
    <t xml:space="preserve">Core flows</t>
  </si>
  <si>
    <t xml:space="preserve">Same test executed on Chrome then Firefox back-to-back</t>
  </si>
  <si>
    <t xml:space="preserve">1. Run login + cart flow on Chrome
2. Immediately repeat on Firefox
3. Compare results</t>
  </si>
  <si>
    <t xml:space="preserve">Both browsers behave consistently; no crash or unexpected state carryover</t>
  </si>
  <si>
    <t xml:space="preserve">TC-NFR-020</t>
  </si>
  <si>
    <t xml:space="preserve">TS-NFR-020</t>
  </si>
  <si>
    <t xml:space="preserve">Zoom levels do not break layout</t>
  </si>
  <si>
    <t xml:space="preserve">Inventory / Checkout page</t>
  </si>
  <si>
    <t xml:space="preserve">Tested at 90% and 110% browser zoom</t>
  </si>
  <si>
    <t xml:space="preserve">1. Set browser zoom to 90%, inspect layout
2. Set browser zoom to 110%, inspect layout</t>
  </si>
  <si>
    <t xml:space="preserve">Core page layouts remain usable and readable at both zoom levels on both browsers</t>
  </si>
  <si>
    <t xml:space="preserve">TC-NFR-021</t>
  </si>
  <si>
    <t xml:space="preserve">TS-NFR-021</t>
  </si>
  <si>
    <t xml:space="preserve">Error Quality</t>
  </si>
  <si>
    <t xml:space="preserve">Error messages are in plain English</t>
  </si>
  <si>
    <t xml:space="preserve">NFR-03</t>
  </si>
  <si>
    <t xml:space="preserve">Various invalid actions across features</t>
  </si>
  <si>
    <t xml:space="preserve">1. Trigger errors in login, checkout, and cart
2. Review the wording of each error message</t>
  </si>
  <si>
    <t xml:space="preserve">All messages use plain, understandable English, no jargon or technical codes shown to the user</t>
  </si>
  <si>
    <t xml:space="preserve">TC-NFR-022</t>
  </si>
  <si>
    <t xml:space="preserve">TS-NFR-022</t>
  </si>
  <si>
    <t xml:space="preserve">Error messages give actionable context</t>
  </si>
  <si>
    <t xml:space="preserve">User leaves a required field empty</t>
  </si>
  <si>
    <t xml:space="preserve">1. Leave the Zip Code field empty and submit
2. Read the resulting error message</t>
  </si>
  <si>
    <t xml:space="preserve">Error message clearly names the missing field (e.g. 'Postal Code is required')</t>
  </si>
  <si>
    <t xml:space="preserve">TC-NFR-023</t>
  </si>
  <si>
    <t xml:space="preserve">TS-NFR-023</t>
  </si>
  <si>
    <t xml:space="preserve">No raw stack traces exposed anywhere</t>
  </si>
  <si>
    <t xml:space="preserve">All pages</t>
  </si>
  <si>
    <t xml:space="preserve">Various invalid/error-triggering actions performed</t>
  </si>
  <si>
    <t xml:space="preserve">1. Trigger errors across login, checkout, and product pages
2. Inspect all displayed error content</t>
  </si>
  <si>
    <t xml:space="preserve">No stack trace, exception class name, or internal file path appears anywhere in the UI</t>
  </si>
  <si>
    <t xml:space="preserve">TC-NFR-024</t>
  </si>
  <si>
    <t xml:space="preserve">TS-NFR-024</t>
  </si>
  <si>
    <t xml:space="preserve">API error responses don't leak server details</t>
  </si>
  <si>
    <t xml:space="preserve">Various invalid API requests sent</t>
  </si>
  <si>
    <t xml:space="preserve">1. Send a malformed request to /auth/login and /carts
2. Inspect the error response body</t>
  </si>
  <si>
    <t xml:space="preserve">Error body contains no database engine names, server file paths, or internal implementation details</t>
  </si>
  <si>
    <t xml:space="preserve">TC-NFR-025</t>
  </si>
  <si>
    <t xml:space="preserve">TS-NFR-025</t>
  </si>
  <si>
    <t xml:space="preserve">No unhelpful generic fallback errors</t>
  </si>
  <si>
    <t xml:space="preserve">Checkout / Login</t>
  </si>
  <si>
    <t xml:space="preserve">An error condition is triggered where a specific message is reasonable</t>
  </si>
  <si>
    <t xml:space="preserve">1. Trigger a specific, known error condition (e.g. missing required field)
2. Check that the message is specific, not a generic 'Something went wrong'</t>
  </si>
  <si>
    <t xml:space="preserve">A specific, relevant error message is shown rather than an unhelpful generic fallback</t>
  </si>
  <si>
    <t xml:space="preserve">TC-NFR-026</t>
  </si>
  <si>
    <t xml:space="preserve">TS-NFR-026</t>
  </si>
  <si>
    <t xml:space="preserve">Multiple simultaneous errors display clearly</t>
  </si>
  <si>
    <t xml:space="preserve">All 3 checkout fields left empty</t>
  </si>
  <si>
    <t xml:space="preserve">1. Leave First Name, Last Name, and Zip Code all empty
2. Click Continue
3. Review resulting error state</t>
  </si>
  <si>
    <t xml:space="preserve">Error messaging remains clear and correctly formatted even with multiple validation failures at once</t>
  </si>
  <si>
    <t xml:space="preserve">TC-NFR-027</t>
  </si>
  <si>
    <t xml:space="preserve">TS-NFR-027</t>
  </si>
  <si>
    <t xml:space="preserve">Error messages don't overflow at min resolution</t>
  </si>
  <si>
    <t xml:space="preserve">NFR-03 / NFR-05</t>
  </si>
  <si>
    <t xml:space="preserve">Browser set to 1366x768</t>
  </si>
  <si>
    <t xml:space="preserve">1. Trigger a validation error at minimum supported resolution
2. Inspect message rendering</t>
  </si>
  <si>
    <t xml:space="preserve">Error message text displays fully without truncation or visual overflow</t>
  </si>
  <si>
    <t xml:space="preserve">TC-NFR-028</t>
  </si>
  <si>
    <t xml:space="preserve">TS-NFR-028</t>
  </si>
  <si>
    <t xml:space="preserve">Resolution</t>
  </si>
  <si>
    <t xml:space="preserve">Login page usable at 1366x768</t>
  </si>
  <si>
    <t xml:space="preserve">NFR-05</t>
  </si>
  <si>
    <t xml:space="preserve">Browser window set to 1366x768</t>
  </si>
  <si>
    <t xml:space="preserve">1. Load Login page at 1366x768
2. Verify all elements are visible and usable</t>
  </si>
  <si>
    <t xml:space="preserve">Login form is fully visible, readable, and usable at this resolution</t>
  </si>
  <si>
    <t xml:space="preserve">TC-NFR-029</t>
  </si>
  <si>
    <t xml:space="preserve">TS-NFR-029</t>
  </si>
  <si>
    <t xml:space="preserve">Inventory page usable at 1366x768</t>
  </si>
  <si>
    <t xml:space="preserve">1. Load Inventory page at 1366x768
2. Verify product grid and controls are visible and usable</t>
  </si>
  <si>
    <t xml:space="preserve">Product listing is fully visible, readable, and usable at this resolution</t>
  </si>
  <si>
    <t xml:space="preserve">TC-NFR-030</t>
  </si>
  <si>
    <t xml:space="preserve">TS-NFR-030</t>
  </si>
  <si>
    <t xml:space="preserve">Cart/Checkout usable at 1366x768</t>
  </si>
  <si>
    <t xml:space="preserve">Cart, Checkout pages</t>
  </si>
  <si>
    <t xml:space="preserve">1. Load Cart and Checkout pages at 1366x768
2. Verify all elements are visible and usable</t>
  </si>
  <si>
    <t xml:space="preserve">Cart and checkout pages are fully visible, readable, and usable at this resolution</t>
  </si>
  <si>
    <t xml:space="preserve">TC-NFR-031</t>
  </si>
  <si>
    <t xml:space="preserve">TS-NFR-031</t>
  </si>
  <si>
    <t xml:space="preserve">App usable at higher resolutions</t>
  </si>
  <si>
    <t xml:space="preserve">Browser window set to 1920x1080</t>
  </si>
  <si>
    <t xml:space="preserve">1. Load core pages at 1920x1080
2. Verify layout and usability</t>
  </si>
  <si>
    <t xml:space="preserve">Application remains usable and well laid out at higher resolutions</t>
  </si>
  <si>
    <t xml:space="preserve">TC-NFR-032</t>
  </si>
  <si>
    <t xml:space="preserve">TS-NFR-032</t>
  </si>
  <si>
    <t xml:space="preserve">No critical elements hidden at min resolution</t>
  </si>
  <si>
    <t xml:space="preserve">Inventory, Cart, Checkout pages</t>
  </si>
  <si>
    <t xml:space="preserve">1. Inspect Add to Cart button, prices, and Checkout button at minimum resolution</t>
  </si>
  <si>
    <t xml:space="preserve">None of these critical elements are cut off, hidden, or require horizontal scrolling to access</t>
  </si>
  <si>
    <t xml:space="preserve">TC-NFR-033</t>
  </si>
  <si>
    <t xml:space="preserve">TS-NFR-033</t>
  </si>
  <si>
    <t xml:space="preserve">No overlapping/unreadable text at min resolution</t>
  </si>
  <si>
    <t xml:space="preserve">1. Visually inspect all text elements at minimum resolution for overlap</t>
  </si>
  <si>
    <t xml:space="preserve">No text overlaps or becomes unreadable at this resolution</t>
  </si>
  <si>
    <t xml:space="preserve">TC-NFR-034</t>
  </si>
  <si>
    <t xml:space="preserve">TS-NFR-034</t>
  </si>
  <si>
    <t xml:space="preserve">Graceful degradation below minimum resolution</t>
  </si>
  <si>
    <t xml:space="preserve">Browser window set to 1280x720 (below official minimum)</t>
  </si>
  <si>
    <t xml:space="preserve">1. Load core pages at 1280x720
2. Observe layout behavior</t>
  </si>
  <si>
    <t xml:space="preserve">Layout degrades gracefully (e.g. scroll appears) rather than completely breaking, even though unsupported</t>
  </si>
  <si>
    <t xml:space="preserve">TC-NFR-035</t>
  </si>
  <si>
    <t xml:space="preserve">TS-NFR-035</t>
  </si>
  <si>
    <t xml:space="preserve">Dynamic resize does not break layout</t>
  </si>
  <si>
    <t xml:space="preserve">Browser window open at a supported resolution</t>
  </si>
  <si>
    <t xml:space="preserve">1. Resize the browser window dynamically between 1366x768 and 1920x1080 while on the page</t>
  </si>
  <si>
    <t xml:space="preserve">Layout adjusts or remains stable without breaking mid-resize</t>
  </si>
  <si>
    <t xml:space="preserve">TC-NFR-036</t>
  </si>
  <si>
    <t xml:space="preserve">TS-NFR-036</t>
  </si>
  <si>
    <t xml:space="preserve">Security</t>
  </si>
  <si>
    <t xml:space="preserve">Password never shown in plaintext in errors</t>
  </si>
  <si>
    <t xml:space="preserve">NFR-06</t>
  </si>
  <si>
    <t xml:space="preserve">User submits invalid credentials</t>
  </si>
  <si>
    <t xml:space="preserve">1. Enter an incorrect password and submit
2. Inspect the resulting error message text</t>
  </si>
  <si>
    <t xml:space="preserve">Error message never echoes back or displays the submitted password value</t>
  </si>
  <si>
    <t xml:space="preserve">TC-NFR-037</t>
  </si>
  <si>
    <t xml:space="preserve">TS-NFR-037</t>
  </si>
  <si>
    <t xml:space="preserve">Password fields consistently masked across app</t>
  </si>
  <si>
    <t xml:space="preserve">Login page (only password field in this AUT)</t>
  </si>
  <si>
    <t xml:space="preserve">User is on any page with a password field</t>
  </si>
  <si>
    <t xml:space="preserve">1. Inspect the password field's input type/rendering</t>
  </si>
  <si>
    <t xml:space="preserve">Password input is consistently masked (dots/asterisks) wherever it appears in the application</t>
  </si>
  <si>
    <t xml:space="preserve">TC-NFR-038</t>
  </si>
  <si>
    <t xml:space="preserve">TS-NFR-038</t>
  </si>
  <si>
    <t xml:space="preserve">Failed login doesn't log password in plaintext</t>
  </si>
  <si>
    <t xml:space="preserve">DevTools open (Console + Network tabs)</t>
  </si>
  <si>
    <t xml:space="preserve">1. Attempt login with wrong password
2. Inspect Console tab and Network request payload</t>
  </si>
  <si>
    <t xml:space="preserve">Password is not printed in plaintext in the console; network payload is not exposed as readable plaintext without HTTPS protection</t>
  </si>
  <si>
    <t xml:space="preserve">TC-NFR-039</t>
  </si>
  <si>
    <t xml:space="preserve">TS-NFR-039</t>
  </si>
  <si>
    <t xml:space="preserve">API error doesn't echo back submitted password</t>
  </si>
  <si>
    <t xml:space="preserve">1. Send POST /auth/login with an incorrect password
2. Inspect the full error response body</t>
  </si>
  <si>
    <t xml:space="preserve">Response body does not include or echo back the submitted password value</t>
  </si>
  <si>
    <t xml:space="preserve">TC-NFR-040</t>
  </si>
  <si>
    <t xml:space="preserve">TS-NFR-040</t>
  </si>
  <si>
    <t xml:space="preserve">Pasted password not exposed on validation error</t>
  </si>
  <si>
    <t xml:space="preserve">A password value is copied to clipboard</t>
  </si>
  <si>
    <t xml:space="preserve">1. Paste the password into the field
2. Trigger a validation error (e.g. submit with empty username)
3. Inspect error message content</t>
  </si>
  <si>
    <t xml:space="preserve">The pasted password value is not exposed in plaintext within the resulting error message</t>
  </si>
  <si>
    <t xml:space="preserve">TC-NFR-041</t>
  </si>
  <si>
    <t xml:space="preserve">TS-NFR-041</t>
  </si>
  <si>
    <t xml:space="preserve">Autofilled password not exposed in page source</t>
  </si>
  <si>
    <t xml:space="preserve">Browser has saved credentials for autofill</t>
  </si>
  <si>
    <t xml:space="preserve">1. Trigger browser autofill for the password field
2. View page source (view-source:) and inspect the field's rendered value</t>
  </si>
  <si>
    <t xml:space="preserve">Autofilled password does not appear as visible plaintext in the page source beyond the standard masked input attribute</t>
  </si>
  <si>
    <t xml:space="preserve">Non-Functional Requirements Test Case Summary</t>
  </si>
  <si>
    <t xml:space="preserve">Count</t>
  </si>
  <si>
    <t xml:space="preserve">Total</t>
  </si>
  <si>
    <t xml:space="preserve">Breakdown by NFR Area</t>
  </si>
  <si>
    <t xml:space="preserve">Execution Status</t>
  </si>
  <si>
    <t xml:space="preserve">Pass</t>
  </si>
  <si>
    <t xml:space="preserve">Fail</t>
  </si>
  <si>
    <t xml:space="preserve">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</si>
</sst>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9EAD3"/>
      </patternFill>
    </fill>
    <fill>
      <patternFill patternType="solid">
        <fgColor rgb="FFFCE4EC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CE4EC"/>
      </patternFill>
    </fill>
    <fill>
      <patternFill patternType="solid">
        <fgColor rgb="FFE2D9F3"/>
        <bgColor rgb="FFDDEBF7"/>
      </patternFill>
    </fill>
    <fill>
      <patternFill patternType="solid">
        <fgColor rgb="FFD9EAD3"/>
        <bgColor rgb="FFE2EFDA"/>
      </patternFill>
    </fill>
    <fill>
      <patternFill patternType="solid">
        <fgColor rgb="FFF4CCCC"/>
        <bgColor rgb="FFE2D9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CE4D6"/>
      <rgbColor rgb="FFFCE4EC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40"/>
    <col collapsed="false" customWidth="true" hidden="false" outlineLevel="0" max="10" min="10" style="0" width="42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s">
        <v>16</v>
      </c>
      <c r="B2" s="2" t="s">
        <v>17</v>
      </c>
      <c r="C2" s="3" t="s">
        <v>18</v>
      </c>
      <c r="D2" s="4" t="s">
        <v>19</v>
      </c>
      <c r="E2" s="5" t="s">
        <v>20</v>
      </c>
      <c r="F2" s="2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/>
      <c r="L2" s="2" t="s">
        <v>26</v>
      </c>
      <c r="M2" s="2" t="s">
        <v>27</v>
      </c>
      <c r="N2" s="5"/>
      <c r="O2" s="5"/>
      <c r="P2" s="5"/>
    </row>
    <row r="3" customFormat="false" ht="23.85" hidden="false" customHeight="false" outlineLevel="0" collapsed="false">
      <c r="A3" s="2" t="s">
        <v>28</v>
      </c>
      <c r="B3" s="2" t="s">
        <v>29</v>
      </c>
      <c r="C3" s="3" t="s">
        <v>18</v>
      </c>
      <c r="D3" s="4" t="s">
        <v>19</v>
      </c>
      <c r="E3" s="5" t="s">
        <v>30</v>
      </c>
      <c r="F3" s="2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/>
      <c r="L3" s="2" t="s">
        <v>26</v>
      </c>
      <c r="M3" s="2" t="s">
        <v>27</v>
      </c>
      <c r="N3" s="5"/>
      <c r="O3" s="5"/>
      <c r="P3" s="5"/>
    </row>
    <row r="4" customFormat="false" ht="23.85" hidden="false" customHeight="false" outlineLevel="0" collapsed="false">
      <c r="A4" s="2" t="s">
        <v>36</v>
      </c>
      <c r="B4" s="2" t="s">
        <v>37</v>
      </c>
      <c r="C4" s="3" t="s">
        <v>18</v>
      </c>
      <c r="D4" s="4" t="s">
        <v>19</v>
      </c>
      <c r="E4" s="5" t="s">
        <v>38</v>
      </c>
      <c r="F4" s="2" t="s">
        <v>31</v>
      </c>
      <c r="G4" s="5" t="s">
        <v>32</v>
      </c>
      <c r="H4" s="5" t="s">
        <v>33</v>
      </c>
      <c r="I4" s="5" t="s">
        <v>39</v>
      </c>
      <c r="J4" s="5" t="s">
        <v>35</v>
      </c>
      <c r="K4" s="5"/>
      <c r="L4" s="2" t="s">
        <v>26</v>
      </c>
      <c r="M4" s="2" t="s">
        <v>27</v>
      </c>
      <c r="N4" s="5"/>
      <c r="O4" s="5"/>
      <c r="P4" s="5"/>
    </row>
    <row r="5" customFormat="false" ht="23.85" hidden="false" customHeight="false" outlineLevel="0" collapsed="false">
      <c r="A5" s="2" t="s">
        <v>40</v>
      </c>
      <c r="B5" s="2" t="s">
        <v>41</v>
      </c>
      <c r="C5" s="3" t="s">
        <v>18</v>
      </c>
      <c r="D5" s="4" t="s">
        <v>19</v>
      </c>
      <c r="E5" s="5" t="s">
        <v>42</v>
      </c>
      <c r="F5" s="2" t="s">
        <v>31</v>
      </c>
      <c r="G5" s="5" t="s">
        <v>32</v>
      </c>
      <c r="H5" s="5" t="s">
        <v>33</v>
      </c>
      <c r="I5" s="5" t="s">
        <v>43</v>
      </c>
      <c r="J5" s="5" t="s">
        <v>35</v>
      </c>
      <c r="K5" s="5"/>
      <c r="L5" s="2" t="s">
        <v>26</v>
      </c>
      <c r="M5" s="2" t="s">
        <v>27</v>
      </c>
      <c r="N5" s="5"/>
      <c r="O5" s="5"/>
      <c r="P5" s="5"/>
    </row>
    <row r="6" customFormat="false" ht="23.85" hidden="false" customHeight="false" outlineLevel="0" collapsed="false">
      <c r="A6" s="2" t="s">
        <v>44</v>
      </c>
      <c r="B6" s="2" t="s">
        <v>45</v>
      </c>
      <c r="C6" s="3" t="s">
        <v>18</v>
      </c>
      <c r="D6" s="4" t="s">
        <v>19</v>
      </c>
      <c r="E6" s="5" t="s">
        <v>46</v>
      </c>
      <c r="F6" s="2" t="s">
        <v>21</v>
      </c>
      <c r="G6" s="5" t="s">
        <v>47</v>
      </c>
      <c r="H6" s="5" t="s">
        <v>48</v>
      </c>
      <c r="I6" s="5" t="s">
        <v>49</v>
      </c>
      <c r="J6" s="5" t="s">
        <v>50</v>
      </c>
      <c r="K6" s="5"/>
      <c r="L6" s="2" t="s">
        <v>26</v>
      </c>
      <c r="M6" s="2" t="s">
        <v>51</v>
      </c>
      <c r="N6" s="5"/>
      <c r="O6" s="5"/>
      <c r="P6" s="5"/>
    </row>
    <row r="7" customFormat="false" ht="35.05" hidden="false" customHeight="false" outlineLevel="0" collapsed="false">
      <c r="A7" s="2" t="s">
        <v>52</v>
      </c>
      <c r="B7" s="2" t="s">
        <v>53</v>
      </c>
      <c r="C7" s="3" t="s">
        <v>18</v>
      </c>
      <c r="D7" s="4" t="s">
        <v>19</v>
      </c>
      <c r="E7" s="5" t="s">
        <v>54</v>
      </c>
      <c r="F7" s="2" t="s">
        <v>21</v>
      </c>
      <c r="G7" s="5" t="s">
        <v>55</v>
      </c>
      <c r="H7" s="5" t="s">
        <v>56</v>
      </c>
      <c r="I7" s="5" t="s">
        <v>57</v>
      </c>
      <c r="J7" s="5" t="s">
        <v>58</v>
      </c>
      <c r="K7" s="5"/>
      <c r="L7" s="2" t="s">
        <v>26</v>
      </c>
      <c r="M7" s="2" t="s">
        <v>51</v>
      </c>
      <c r="N7" s="5"/>
      <c r="O7" s="5"/>
      <c r="P7" s="5"/>
    </row>
    <row r="8" customFormat="false" ht="35.05" hidden="false" customHeight="false" outlineLevel="0" collapsed="false">
      <c r="A8" s="2" t="s">
        <v>59</v>
      </c>
      <c r="B8" s="2" t="s">
        <v>60</v>
      </c>
      <c r="C8" s="3" t="s">
        <v>18</v>
      </c>
      <c r="D8" s="6" t="s">
        <v>61</v>
      </c>
      <c r="E8" s="5" t="s">
        <v>62</v>
      </c>
      <c r="F8" s="2" t="s">
        <v>21</v>
      </c>
      <c r="G8" s="5" t="s">
        <v>22</v>
      </c>
      <c r="H8" s="5" t="s">
        <v>63</v>
      </c>
      <c r="I8" s="5" t="s">
        <v>64</v>
      </c>
      <c r="J8" s="5" t="s">
        <v>65</v>
      </c>
      <c r="K8" s="5"/>
      <c r="L8" s="2" t="s">
        <v>26</v>
      </c>
      <c r="M8" s="2" t="s">
        <v>51</v>
      </c>
      <c r="N8" s="5"/>
      <c r="O8" s="5"/>
      <c r="P8" s="5"/>
    </row>
    <row r="9" customFormat="false" ht="35.05" hidden="false" customHeight="false" outlineLevel="0" collapsed="false">
      <c r="A9" s="2" t="s">
        <v>66</v>
      </c>
      <c r="B9" s="2" t="s">
        <v>67</v>
      </c>
      <c r="C9" s="3" t="s">
        <v>18</v>
      </c>
      <c r="D9" s="6" t="s">
        <v>61</v>
      </c>
      <c r="E9" s="5" t="s">
        <v>68</v>
      </c>
      <c r="F9" s="2" t="s">
        <v>69</v>
      </c>
      <c r="G9" s="5" t="s">
        <v>70</v>
      </c>
      <c r="H9" s="5" t="s">
        <v>71</v>
      </c>
      <c r="I9" s="5" t="s">
        <v>72</v>
      </c>
      <c r="J9" s="5" t="s">
        <v>73</v>
      </c>
      <c r="K9" s="5"/>
      <c r="L9" s="2" t="s">
        <v>26</v>
      </c>
      <c r="M9" s="2" t="s">
        <v>27</v>
      </c>
      <c r="N9" s="5"/>
      <c r="O9" s="5"/>
      <c r="P9" s="5"/>
    </row>
    <row r="10" customFormat="false" ht="23.85" hidden="false" customHeight="false" outlineLevel="0" collapsed="false">
      <c r="A10" s="2" t="s">
        <v>74</v>
      </c>
      <c r="B10" s="2" t="s">
        <v>75</v>
      </c>
      <c r="C10" s="3" t="s">
        <v>18</v>
      </c>
      <c r="D10" s="7" t="s">
        <v>76</v>
      </c>
      <c r="E10" s="5" t="s">
        <v>77</v>
      </c>
      <c r="F10" s="2" t="s">
        <v>31</v>
      </c>
      <c r="G10" s="5" t="s">
        <v>32</v>
      </c>
      <c r="H10" s="5" t="s">
        <v>78</v>
      </c>
      <c r="I10" s="5" t="s">
        <v>79</v>
      </c>
      <c r="J10" s="5" t="s">
        <v>80</v>
      </c>
      <c r="K10" s="5"/>
      <c r="L10" s="2" t="s">
        <v>26</v>
      </c>
      <c r="M10" s="2" t="s">
        <v>51</v>
      </c>
      <c r="N10" s="5"/>
      <c r="O10" s="5"/>
      <c r="P10" s="5"/>
    </row>
    <row r="11" customFormat="false" ht="46.25" hidden="false" customHeight="false" outlineLevel="0" collapsed="false">
      <c r="A11" s="2" t="s">
        <v>81</v>
      </c>
      <c r="B11" s="2" t="s">
        <v>82</v>
      </c>
      <c r="C11" s="3" t="s">
        <v>18</v>
      </c>
      <c r="D11" s="7" t="s">
        <v>76</v>
      </c>
      <c r="E11" s="5" t="s">
        <v>83</v>
      </c>
      <c r="F11" s="2" t="s">
        <v>69</v>
      </c>
      <c r="G11" s="5" t="s">
        <v>84</v>
      </c>
      <c r="H11" s="5" t="s">
        <v>85</v>
      </c>
      <c r="I11" s="5" t="s">
        <v>86</v>
      </c>
      <c r="J11" s="5" t="s">
        <v>87</v>
      </c>
      <c r="K11" s="5"/>
      <c r="L11" s="2" t="s">
        <v>26</v>
      </c>
      <c r="M11" s="2" t="s">
        <v>51</v>
      </c>
      <c r="N11" s="5"/>
      <c r="O11" s="5"/>
      <c r="P11" s="5"/>
    </row>
    <row r="12" customFormat="false" ht="23.85" hidden="false" customHeight="false" outlineLevel="0" collapsed="false">
      <c r="A12" s="2" t="s">
        <v>88</v>
      </c>
      <c r="B12" s="2" t="s">
        <v>89</v>
      </c>
      <c r="C12" s="8" t="s">
        <v>90</v>
      </c>
      <c r="D12" s="4" t="s">
        <v>19</v>
      </c>
      <c r="E12" s="5" t="s">
        <v>91</v>
      </c>
      <c r="F12" s="2" t="s">
        <v>92</v>
      </c>
      <c r="G12" s="5" t="s">
        <v>22</v>
      </c>
      <c r="H12" s="5" t="s">
        <v>93</v>
      </c>
      <c r="I12" s="5" t="s">
        <v>94</v>
      </c>
      <c r="J12" s="5" t="s">
        <v>95</v>
      </c>
      <c r="K12" s="5"/>
      <c r="L12" s="2" t="s">
        <v>26</v>
      </c>
      <c r="M12" s="2" t="s">
        <v>27</v>
      </c>
      <c r="N12" s="5"/>
      <c r="O12" s="5"/>
      <c r="P12" s="5"/>
    </row>
    <row r="13" customFormat="false" ht="23.85" hidden="false" customHeight="false" outlineLevel="0" collapsed="false">
      <c r="A13" s="2" t="s">
        <v>96</v>
      </c>
      <c r="B13" s="2" t="s">
        <v>97</v>
      </c>
      <c r="C13" s="8" t="s">
        <v>90</v>
      </c>
      <c r="D13" s="4" t="s">
        <v>19</v>
      </c>
      <c r="E13" s="5" t="s">
        <v>98</v>
      </c>
      <c r="F13" s="2" t="s">
        <v>92</v>
      </c>
      <c r="G13" s="5" t="s">
        <v>22</v>
      </c>
      <c r="H13" s="5" t="s">
        <v>99</v>
      </c>
      <c r="I13" s="5" t="s">
        <v>100</v>
      </c>
      <c r="J13" s="5" t="s">
        <v>95</v>
      </c>
      <c r="K13" s="5"/>
      <c r="L13" s="2" t="s">
        <v>26</v>
      </c>
      <c r="M13" s="2" t="s">
        <v>27</v>
      </c>
      <c r="N13" s="5"/>
      <c r="O13" s="5"/>
      <c r="P13" s="5"/>
    </row>
    <row r="14" customFormat="false" ht="35.05" hidden="false" customHeight="false" outlineLevel="0" collapsed="false">
      <c r="A14" s="2" t="s">
        <v>101</v>
      </c>
      <c r="B14" s="2" t="s">
        <v>102</v>
      </c>
      <c r="C14" s="8" t="s">
        <v>90</v>
      </c>
      <c r="D14" s="4" t="s">
        <v>19</v>
      </c>
      <c r="E14" s="5" t="s">
        <v>103</v>
      </c>
      <c r="F14" s="2" t="s">
        <v>92</v>
      </c>
      <c r="G14" s="5" t="s">
        <v>70</v>
      </c>
      <c r="H14" s="5" t="s">
        <v>104</v>
      </c>
      <c r="I14" s="5" t="s">
        <v>105</v>
      </c>
      <c r="J14" s="5" t="s">
        <v>106</v>
      </c>
      <c r="K14" s="5"/>
      <c r="L14" s="2" t="s">
        <v>26</v>
      </c>
      <c r="M14" s="2" t="s">
        <v>27</v>
      </c>
      <c r="N14" s="5"/>
      <c r="O14" s="5"/>
      <c r="P14" s="5"/>
    </row>
    <row r="15" customFormat="false" ht="35.05" hidden="false" customHeight="false" outlineLevel="0" collapsed="false">
      <c r="A15" s="2" t="s">
        <v>107</v>
      </c>
      <c r="B15" s="2" t="s">
        <v>108</v>
      </c>
      <c r="C15" s="8" t="s">
        <v>90</v>
      </c>
      <c r="D15" s="4" t="s">
        <v>19</v>
      </c>
      <c r="E15" s="5" t="s">
        <v>109</v>
      </c>
      <c r="F15" s="2" t="s">
        <v>92</v>
      </c>
      <c r="G15" s="5" t="s">
        <v>70</v>
      </c>
      <c r="H15" s="5" t="s">
        <v>110</v>
      </c>
      <c r="I15" s="5" t="s">
        <v>111</v>
      </c>
      <c r="J15" s="5" t="s">
        <v>106</v>
      </c>
      <c r="K15" s="5"/>
      <c r="L15" s="2" t="s">
        <v>26</v>
      </c>
      <c r="M15" s="2" t="s">
        <v>27</v>
      </c>
      <c r="N15" s="5"/>
      <c r="O15" s="5"/>
      <c r="P15" s="5"/>
    </row>
    <row r="16" customFormat="false" ht="23.85" hidden="false" customHeight="false" outlineLevel="0" collapsed="false">
      <c r="A16" s="2" t="s">
        <v>112</v>
      </c>
      <c r="B16" s="2" t="s">
        <v>113</v>
      </c>
      <c r="C16" s="8" t="s">
        <v>90</v>
      </c>
      <c r="D16" s="4" t="s">
        <v>19</v>
      </c>
      <c r="E16" s="5" t="s">
        <v>114</v>
      </c>
      <c r="F16" s="2" t="s">
        <v>92</v>
      </c>
      <c r="G16" s="5" t="s">
        <v>115</v>
      </c>
      <c r="H16" s="5" t="s">
        <v>116</v>
      </c>
      <c r="I16" s="5" t="s">
        <v>117</v>
      </c>
      <c r="J16" s="5" t="s">
        <v>118</v>
      </c>
      <c r="K16" s="5"/>
      <c r="L16" s="2" t="s">
        <v>26</v>
      </c>
      <c r="M16" s="2" t="s">
        <v>119</v>
      </c>
      <c r="N16" s="5"/>
      <c r="O16" s="5"/>
      <c r="P16" s="5"/>
    </row>
    <row r="17" customFormat="false" ht="35.05" hidden="false" customHeight="false" outlineLevel="0" collapsed="false">
      <c r="A17" s="2" t="s">
        <v>120</v>
      </c>
      <c r="B17" s="2" t="s">
        <v>121</v>
      </c>
      <c r="C17" s="8" t="s">
        <v>90</v>
      </c>
      <c r="D17" s="6" t="s">
        <v>61</v>
      </c>
      <c r="E17" s="5" t="s">
        <v>122</v>
      </c>
      <c r="F17" s="2" t="s">
        <v>92</v>
      </c>
      <c r="G17" s="5" t="s">
        <v>123</v>
      </c>
      <c r="H17" s="5" t="s">
        <v>124</v>
      </c>
      <c r="I17" s="5" t="s">
        <v>125</v>
      </c>
      <c r="J17" s="5" t="s">
        <v>126</v>
      </c>
      <c r="K17" s="5"/>
      <c r="L17" s="2" t="s">
        <v>26</v>
      </c>
      <c r="M17" s="2" t="s">
        <v>27</v>
      </c>
      <c r="N17" s="5"/>
      <c r="O17" s="5"/>
      <c r="P17" s="5"/>
    </row>
    <row r="18" customFormat="false" ht="35.05" hidden="false" customHeight="false" outlineLevel="0" collapsed="false">
      <c r="A18" s="2" t="s">
        <v>127</v>
      </c>
      <c r="B18" s="2" t="s">
        <v>128</v>
      </c>
      <c r="C18" s="8" t="s">
        <v>90</v>
      </c>
      <c r="D18" s="6" t="s">
        <v>61</v>
      </c>
      <c r="E18" s="5" t="s">
        <v>129</v>
      </c>
      <c r="F18" s="2" t="s">
        <v>92</v>
      </c>
      <c r="G18" s="5" t="s">
        <v>123</v>
      </c>
      <c r="H18" s="5" t="s">
        <v>130</v>
      </c>
      <c r="I18" s="5" t="s">
        <v>131</v>
      </c>
      <c r="J18" s="5" t="s">
        <v>126</v>
      </c>
      <c r="K18" s="5"/>
      <c r="L18" s="2" t="s">
        <v>26</v>
      </c>
      <c r="M18" s="2" t="s">
        <v>27</v>
      </c>
      <c r="N18" s="5"/>
      <c r="O18" s="5"/>
      <c r="P18" s="5"/>
    </row>
    <row r="19" customFormat="false" ht="23.85" hidden="false" customHeight="false" outlineLevel="0" collapsed="false">
      <c r="A19" s="2" t="s">
        <v>132</v>
      </c>
      <c r="B19" s="2" t="s">
        <v>133</v>
      </c>
      <c r="C19" s="8" t="s">
        <v>90</v>
      </c>
      <c r="D19" s="6" t="s">
        <v>61</v>
      </c>
      <c r="E19" s="5" t="s">
        <v>134</v>
      </c>
      <c r="F19" s="2" t="s">
        <v>92</v>
      </c>
      <c r="G19" s="5" t="s">
        <v>135</v>
      </c>
      <c r="H19" s="5" t="s">
        <v>136</v>
      </c>
      <c r="I19" s="5" t="s">
        <v>137</v>
      </c>
      <c r="J19" s="5" t="s">
        <v>138</v>
      </c>
      <c r="K19" s="5"/>
      <c r="L19" s="2" t="s">
        <v>26</v>
      </c>
      <c r="M19" s="2" t="s">
        <v>27</v>
      </c>
      <c r="N19" s="5"/>
      <c r="O19" s="5"/>
      <c r="P19" s="5"/>
    </row>
    <row r="20" customFormat="false" ht="35.05" hidden="false" customHeight="false" outlineLevel="0" collapsed="false">
      <c r="A20" s="2" t="s">
        <v>139</v>
      </c>
      <c r="B20" s="2" t="s">
        <v>140</v>
      </c>
      <c r="C20" s="8" t="s">
        <v>90</v>
      </c>
      <c r="D20" s="7" t="s">
        <v>76</v>
      </c>
      <c r="E20" s="5" t="s">
        <v>141</v>
      </c>
      <c r="F20" s="2" t="s">
        <v>92</v>
      </c>
      <c r="G20" s="5" t="s">
        <v>142</v>
      </c>
      <c r="H20" s="5" t="s">
        <v>143</v>
      </c>
      <c r="I20" s="5" t="s">
        <v>144</v>
      </c>
      <c r="J20" s="5" t="s">
        <v>145</v>
      </c>
      <c r="K20" s="5"/>
      <c r="L20" s="2" t="s">
        <v>26</v>
      </c>
      <c r="M20" s="2" t="s">
        <v>51</v>
      </c>
      <c r="N20" s="5"/>
      <c r="O20" s="5"/>
      <c r="P20" s="5"/>
    </row>
    <row r="21" customFormat="false" ht="23.85" hidden="false" customHeight="false" outlineLevel="0" collapsed="false">
      <c r="A21" s="2" t="s">
        <v>146</v>
      </c>
      <c r="B21" s="2" t="s">
        <v>147</v>
      </c>
      <c r="C21" s="8" t="s">
        <v>90</v>
      </c>
      <c r="D21" s="7" t="s">
        <v>76</v>
      </c>
      <c r="E21" s="5" t="s">
        <v>148</v>
      </c>
      <c r="F21" s="2" t="s">
        <v>92</v>
      </c>
      <c r="G21" s="5" t="s">
        <v>149</v>
      </c>
      <c r="H21" s="5" t="s">
        <v>150</v>
      </c>
      <c r="I21" s="5" t="s">
        <v>151</v>
      </c>
      <c r="J21" s="5" t="s">
        <v>152</v>
      </c>
      <c r="K21" s="5"/>
      <c r="L21" s="2" t="s">
        <v>26</v>
      </c>
      <c r="M21" s="2" t="s">
        <v>51</v>
      </c>
      <c r="N21" s="5"/>
      <c r="O21" s="5"/>
      <c r="P21" s="5"/>
    </row>
    <row r="22" customFormat="false" ht="23.85" hidden="false" customHeight="false" outlineLevel="0" collapsed="false">
      <c r="A22" s="2" t="s">
        <v>153</v>
      </c>
      <c r="B22" s="2" t="s">
        <v>154</v>
      </c>
      <c r="C22" s="9" t="s">
        <v>155</v>
      </c>
      <c r="D22" s="4" t="s">
        <v>19</v>
      </c>
      <c r="E22" s="5" t="s">
        <v>156</v>
      </c>
      <c r="F22" s="2" t="s">
        <v>157</v>
      </c>
      <c r="G22" s="5" t="s">
        <v>123</v>
      </c>
      <c r="H22" s="5" t="s">
        <v>158</v>
      </c>
      <c r="I22" s="5" t="s">
        <v>159</v>
      </c>
      <c r="J22" s="5" t="s">
        <v>160</v>
      </c>
      <c r="K22" s="5"/>
      <c r="L22" s="2" t="s">
        <v>26</v>
      </c>
      <c r="M22" s="2" t="s">
        <v>119</v>
      </c>
      <c r="N22" s="5"/>
      <c r="O22" s="5"/>
      <c r="P22" s="5"/>
    </row>
    <row r="23" customFormat="false" ht="23.85" hidden="false" customHeight="false" outlineLevel="0" collapsed="false">
      <c r="A23" s="2" t="s">
        <v>161</v>
      </c>
      <c r="B23" s="2" t="s">
        <v>162</v>
      </c>
      <c r="C23" s="9" t="s">
        <v>155</v>
      </c>
      <c r="D23" s="4" t="s">
        <v>19</v>
      </c>
      <c r="E23" s="5" t="s">
        <v>163</v>
      </c>
      <c r="F23" s="2" t="s">
        <v>157</v>
      </c>
      <c r="G23" s="5" t="s">
        <v>55</v>
      </c>
      <c r="H23" s="5" t="s">
        <v>164</v>
      </c>
      <c r="I23" s="5" t="s">
        <v>165</v>
      </c>
      <c r="J23" s="5" t="s">
        <v>166</v>
      </c>
      <c r="K23" s="5"/>
      <c r="L23" s="2" t="s">
        <v>26</v>
      </c>
      <c r="M23" s="2" t="s">
        <v>119</v>
      </c>
      <c r="N23" s="5"/>
      <c r="O23" s="5"/>
      <c r="P23" s="5"/>
    </row>
    <row r="24" customFormat="false" ht="35.05" hidden="false" customHeight="false" outlineLevel="0" collapsed="false">
      <c r="A24" s="2" t="s">
        <v>167</v>
      </c>
      <c r="B24" s="2" t="s">
        <v>168</v>
      </c>
      <c r="C24" s="9" t="s">
        <v>155</v>
      </c>
      <c r="D24" s="6" t="s">
        <v>61</v>
      </c>
      <c r="E24" s="5" t="s">
        <v>169</v>
      </c>
      <c r="F24" s="2" t="s">
        <v>157</v>
      </c>
      <c r="G24" s="5" t="s">
        <v>170</v>
      </c>
      <c r="H24" s="5" t="s">
        <v>171</v>
      </c>
      <c r="I24" s="5" t="s">
        <v>172</v>
      </c>
      <c r="J24" s="5" t="s">
        <v>173</v>
      </c>
      <c r="K24" s="5"/>
      <c r="L24" s="2" t="s">
        <v>26</v>
      </c>
      <c r="M24" s="2" t="s">
        <v>119</v>
      </c>
      <c r="N24" s="5"/>
      <c r="O24" s="5"/>
      <c r="P24" s="5"/>
    </row>
    <row r="25" customFormat="false" ht="35.05" hidden="false" customHeight="false" outlineLevel="0" collapsed="false">
      <c r="A25" s="2" t="s">
        <v>174</v>
      </c>
      <c r="B25" s="2" t="s">
        <v>175</v>
      </c>
      <c r="C25" s="9" t="s">
        <v>155</v>
      </c>
      <c r="D25" s="6" t="s">
        <v>61</v>
      </c>
      <c r="E25" s="5" t="s">
        <v>176</v>
      </c>
      <c r="F25" s="2" t="s">
        <v>157</v>
      </c>
      <c r="G25" s="5" t="s">
        <v>32</v>
      </c>
      <c r="H25" s="5" t="s">
        <v>177</v>
      </c>
      <c r="I25" s="5" t="s">
        <v>178</v>
      </c>
      <c r="J25" s="5" t="s">
        <v>179</v>
      </c>
      <c r="K25" s="5"/>
      <c r="L25" s="2" t="s">
        <v>26</v>
      </c>
      <c r="M25" s="2" t="s">
        <v>119</v>
      </c>
      <c r="N25" s="5"/>
      <c r="O25" s="5"/>
      <c r="P25" s="5"/>
    </row>
    <row r="26" customFormat="false" ht="46.25" hidden="false" customHeight="false" outlineLevel="0" collapsed="false">
      <c r="A26" s="2" t="s">
        <v>180</v>
      </c>
      <c r="B26" s="2" t="s">
        <v>181</v>
      </c>
      <c r="C26" s="9" t="s">
        <v>155</v>
      </c>
      <c r="D26" s="6" t="s">
        <v>61</v>
      </c>
      <c r="E26" s="5" t="s">
        <v>182</v>
      </c>
      <c r="F26" s="2" t="s">
        <v>157</v>
      </c>
      <c r="G26" s="5" t="s">
        <v>183</v>
      </c>
      <c r="H26" s="5" t="s">
        <v>184</v>
      </c>
      <c r="I26" s="5" t="s">
        <v>185</v>
      </c>
      <c r="J26" s="5" t="s">
        <v>186</v>
      </c>
      <c r="K26" s="5"/>
      <c r="L26" s="2" t="s">
        <v>26</v>
      </c>
      <c r="M26" s="2" t="s">
        <v>27</v>
      </c>
      <c r="N26" s="5"/>
      <c r="O26" s="5"/>
      <c r="P26" s="5"/>
    </row>
    <row r="27" customFormat="false" ht="46.25" hidden="false" customHeight="false" outlineLevel="0" collapsed="false">
      <c r="A27" s="2" t="s">
        <v>187</v>
      </c>
      <c r="B27" s="2" t="s">
        <v>188</v>
      </c>
      <c r="C27" s="9" t="s">
        <v>155</v>
      </c>
      <c r="D27" s="7" t="s">
        <v>76</v>
      </c>
      <c r="E27" s="5" t="s">
        <v>189</v>
      </c>
      <c r="F27" s="2" t="s">
        <v>157</v>
      </c>
      <c r="G27" s="5" t="s">
        <v>55</v>
      </c>
      <c r="H27" s="5" t="s">
        <v>190</v>
      </c>
      <c r="I27" s="5" t="s">
        <v>191</v>
      </c>
      <c r="J27" s="5" t="s">
        <v>192</v>
      </c>
      <c r="K27" s="5"/>
      <c r="L27" s="2" t="s">
        <v>26</v>
      </c>
      <c r="M27" s="2" t="s">
        <v>27</v>
      </c>
      <c r="N27" s="5"/>
      <c r="O27" s="5"/>
      <c r="P27" s="5"/>
    </row>
    <row r="28" customFormat="false" ht="35.05" hidden="false" customHeight="false" outlineLevel="0" collapsed="false">
      <c r="A28" s="2" t="s">
        <v>193</v>
      </c>
      <c r="B28" s="2" t="s">
        <v>194</v>
      </c>
      <c r="C28" s="9" t="s">
        <v>155</v>
      </c>
      <c r="D28" s="7" t="s">
        <v>76</v>
      </c>
      <c r="E28" s="5" t="s">
        <v>195</v>
      </c>
      <c r="F28" s="2" t="s">
        <v>196</v>
      </c>
      <c r="G28" s="5" t="s">
        <v>55</v>
      </c>
      <c r="H28" s="5" t="s">
        <v>197</v>
      </c>
      <c r="I28" s="5" t="s">
        <v>198</v>
      </c>
      <c r="J28" s="5" t="s">
        <v>199</v>
      </c>
      <c r="K28" s="5"/>
      <c r="L28" s="2" t="s">
        <v>26</v>
      </c>
      <c r="M28" s="2" t="s">
        <v>51</v>
      </c>
      <c r="N28" s="5"/>
      <c r="O28" s="5"/>
      <c r="P28" s="5"/>
    </row>
    <row r="29" customFormat="false" ht="23.85" hidden="false" customHeight="false" outlineLevel="0" collapsed="false">
      <c r="A29" s="2" t="s">
        <v>200</v>
      </c>
      <c r="B29" s="2" t="s">
        <v>201</v>
      </c>
      <c r="C29" s="10" t="s">
        <v>202</v>
      </c>
      <c r="D29" s="4" t="s">
        <v>19</v>
      </c>
      <c r="E29" s="5" t="s">
        <v>203</v>
      </c>
      <c r="F29" s="2" t="s">
        <v>204</v>
      </c>
      <c r="G29" s="5" t="s">
        <v>22</v>
      </c>
      <c r="H29" s="5" t="s">
        <v>205</v>
      </c>
      <c r="I29" s="5" t="s">
        <v>206</v>
      </c>
      <c r="J29" s="5" t="s">
        <v>207</v>
      </c>
      <c r="K29" s="5"/>
      <c r="L29" s="2" t="s">
        <v>26</v>
      </c>
      <c r="M29" s="2" t="s">
        <v>51</v>
      </c>
      <c r="N29" s="5"/>
      <c r="O29" s="5"/>
      <c r="P29" s="5"/>
    </row>
    <row r="30" customFormat="false" ht="35.05" hidden="false" customHeight="false" outlineLevel="0" collapsed="false">
      <c r="A30" s="2" t="s">
        <v>208</v>
      </c>
      <c r="B30" s="2" t="s">
        <v>209</v>
      </c>
      <c r="C30" s="10" t="s">
        <v>202</v>
      </c>
      <c r="D30" s="4" t="s">
        <v>19</v>
      </c>
      <c r="E30" s="5" t="s">
        <v>210</v>
      </c>
      <c r="F30" s="2" t="s">
        <v>204</v>
      </c>
      <c r="G30" s="5" t="s">
        <v>47</v>
      </c>
      <c r="H30" s="5" t="s">
        <v>205</v>
      </c>
      <c r="I30" s="5" t="s">
        <v>211</v>
      </c>
      <c r="J30" s="5" t="s">
        <v>212</v>
      </c>
      <c r="K30" s="5"/>
      <c r="L30" s="2" t="s">
        <v>26</v>
      </c>
      <c r="M30" s="2" t="s">
        <v>51</v>
      </c>
      <c r="N30" s="5"/>
      <c r="O30" s="5"/>
      <c r="P30" s="5"/>
    </row>
    <row r="31" customFormat="false" ht="23.85" hidden="false" customHeight="false" outlineLevel="0" collapsed="false">
      <c r="A31" s="2" t="s">
        <v>213</v>
      </c>
      <c r="B31" s="2" t="s">
        <v>214</v>
      </c>
      <c r="C31" s="10" t="s">
        <v>202</v>
      </c>
      <c r="D31" s="4" t="s">
        <v>19</v>
      </c>
      <c r="E31" s="5" t="s">
        <v>215</v>
      </c>
      <c r="F31" s="2" t="s">
        <v>204</v>
      </c>
      <c r="G31" s="5" t="s">
        <v>216</v>
      </c>
      <c r="H31" s="5" t="s">
        <v>205</v>
      </c>
      <c r="I31" s="5" t="s">
        <v>217</v>
      </c>
      <c r="J31" s="5" t="s">
        <v>218</v>
      </c>
      <c r="K31" s="5"/>
      <c r="L31" s="2" t="s">
        <v>26</v>
      </c>
      <c r="M31" s="2" t="s">
        <v>51</v>
      </c>
      <c r="N31" s="5"/>
      <c r="O31" s="5"/>
      <c r="P31" s="5"/>
    </row>
    <row r="32" customFormat="false" ht="23.85" hidden="false" customHeight="false" outlineLevel="0" collapsed="false">
      <c r="A32" s="2" t="s">
        <v>219</v>
      </c>
      <c r="B32" s="2" t="s">
        <v>220</v>
      </c>
      <c r="C32" s="10" t="s">
        <v>202</v>
      </c>
      <c r="D32" s="4" t="s">
        <v>19</v>
      </c>
      <c r="E32" s="5" t="s">
        <v>221</v>
      </c>
      <c r="F32" s="2" t="s">
        <v>204</v>
      </c>
      <c r="G32" s="5" t="s">
        <v>135</v>
      </c>
      <c r="H32" s="5" t="s">
        <v>222</v>
      </c>
      <c r="I32" s="5" t="s">
        <v>223</v>
      </c>
      <c r="J32" s="5" t="s">
        <v>224</v>
      </c>
      <c r="K32" s="5"/>
      <c r="L32" s="2" t="s">
        <v>26</v>
      </c>
      <c r="M32" s="2" t="s">
        <v>51</v>
      </c>
      <c r="N32" s="5"/>
      <c r="O32" s="5"/>
      <c r="P32" s="5"/>
    </row>
    <row r="33" customFormat="false" ht="23.85" hidden="false" customHeight="false" outlineLevel="0" collapsed="false">
      <c r="A33" s="2" t="s">
        <v>225</v>
      </c>
      <c r="B33" s="2" t="s">
        <v>226</v>
      </c>
      <c r="C33" s="10" t="s">
        <v>202</v>
      </c>
      <c r="D33" s="6" t="s">
        <v>61</v>
      </c>
      <c r="E33" s="5" t="s">
        <v>227</v>
      </c>
      <c r="F33" s="2" t="s">
        <v>204</v>
      </c>
      <c r="G33" s="5" t="s">
        <v>228</v>
      </c>
      <c r="H33" s="5" t="s">
        <v>205</v>
      </c>
      <c r="I33" s="5" t="s">
        <v>229</v>
      </c>
      <c r="J33" s="5" t="s">
        <v>230</v>
      </c>
      <c r="K33" s="5"/>
      <c r="L33" s="2" t="s">
        <v>26</v>
      </c>
      <c r="M33" s="2" t="s">
        <v>27</v>
      </c>
      <c r="N33" s="5"/>
      <c r="O33" s="5"/>
      <c r="P33" s="5"/>
    </row>
    <row r="34" customFormat="false" ht="23.85" hidden="false" customHeight="false" outlineLevel="0" collapsed="false">
      <c r="A34" s="2" t="s">
        <v>231</v>
      </c>
      <c r="B34" s="2" t="s">
        <v>232</v>
      </c>
      <c r="C34" s="10" t="s">
        <v>202</v>
      </c>
      <c r="D34" s="6" t="s">
        <v>61</v>
      </c>
      <c r="E34" s="5" t="s">
        <v>233</v>
      </c>
      <c r="F34" s="2" t="s">
        <v>204</v>
      </c>
      <c r="G34" s="5" t="s">
        <v>135</v>
      </c>
      <c r="H34" s="5" t="s">
        <v>205</v>
      </c>
      <c r="I34" s="5" t="s">
        <v>234</v>
      </c>
      <c r="J34" s="5" t="s">
        <v>235</v>
      </c>
      <c r="K34" s="5"/>
      <c r="L34" s="2" t="s">
        <v>26</v>
      </c>
      <c r="M34" s="2" t="s">
        <v>27</v>
      </c>
      <c r="N34" s="5"/>
      <c r="O34" s="5"/>
      <c r="P34" s="5"/>
    </row>
    <row r="35" customFormat="false" ht="35.05" hidden="false" customHeight="false" outlineLevel="0" collapsed="false">
      <c r="A35" s="2" t="s">
        <v>236</v>
      </c>
      <c r="B35" s="2" t="s">
        <v>237</v>
      </c>
      <c r="C35" s="10" t="s">
        <v>202</v>
      </c>
      <c r="D35" s="7" t="s">
        <v>76</v>
      </c>
      <c r="E35" s="5" t="s">
        <v>238</v>
      </c>
      <c r="F35" s="2" t="s">
        <v>204</v>
      </c>
      <c r="G35" s="5" t="s">
        <v>135</v>
      </c>
      <c r="H35" s="5" t="s">
        <v>239</v>
      </c>
      <c r="I35" s="5" t="s">
        <v>240</v>
      </c>
      <c r="J35" s="5" t="s">
        <v>241</v>
      </c>
      <c r="K35" s="5"/>
      <c r="L35" s="2" t="s">
        <v>26</v>
      </c>
      <c r="M35" s="2" t="s">
        <v>51</v>
      </c>
      <c r="N35" s="5"/>
      <c r="O35" s="5"/>
      <c r="P35" s="5"/>
    </row>
    <row r="36" customFormat="false" ht="35.05" hidden="false" customHeight="false" outlineLevel="0" collapsed="false">
      <c r="A36" s="2" t="s">
        <v>242</v>
      </c>
      <c r="B36" s="2" t="s">
        <v>243</v>
      </c>
      <c r="C36" s="10" t="s">
        <v>202</v>
      </c>
      <c r="D36" s="7" t="s">
        <v>76</v>
      </c>
      <c r="E36" s="5" t="s">
        <v>244</v>
      </c>
      <c r="F36" s="2" t="s">
        <v>204</v>
      </c>
      <c r="G36" s="5" t="s">
        <v>47</v>
      </c>
      <c r="H36" s="5" t="s">
        <v>245</v>
      </c>
      <c r="I36" s="5" t="s">
        <v>246</v>
      </c>
      <c r="J36" s="5" t="s">
        <v>247</v>
      </c>
      <c r="K36" s="5"/>
      <c r="L36" s="2" t="s">
        <v>26</v>
      </c>
      <c r="M36" s="2" t="s">
        <v>51</v>
      </c>
      <c r="N36" s="5"/>
      <c r="O36" s="5"/>
      <c r="P36" s="5"/>
    </row>
    <row r="37" customFormat="false" ht="23.85" hidden="false" customHeight="false" outlineLevel="0" collapsed="false">
      <c r="A37" s="2" t="s">
        <v>248</v>
      </c>
      <c r="B37" s="2" t="s">
        <v>249</v>
      </c>
      <c r="C37" s="11" t="s">
        <v>250</v>
      </c>
      <c r="D37" s="4" t="s">
        <v>19</v>
      </c>
      <c r="E37" s="5" t="s">
        <v>251</v>
      </c>
      <c r="F37" s="2" t="s">
        <v>252</v>
      </c>
      <c r="G37" s="5" t="s">
        <v>22</v>
      </c>
      <c r="H37" s="5" t="s">
        <v>253</v>
      </c>
      <c r="I37" s="5" t="s">
        <v>254</v>
      </c>
      <c r="J37" s="5" t="s">
        <v>255</v>
      </c>
      <c r="K37" s="5"/>
      <c r="L37" s="2" t="s">
        <v>26</v>
      </c>
      <c r="M37" s="2" t="s">
        <v>119</v>
      </c>
      <c r="N37" s="5"/>
      <c r="O37" s="5"/>
      <c r="P37" s="5"/>
    </row>
    <row r="38" customFormat="false" ht="35.05" hidden="false" customHeight="false" outlineLevel="0" collapsed="false">
      <c r="A38" s="2" t="s">
        <v>256</v>
      </c>
      <c r="B38" s="2" t="s">
        <v>257</v>
      </c>
      <c r="C38" s="11" t="s">
        <v>250</v>
      </c>
      <c r="D38" s="4" t="s">
        <v>19</v>
      </c>
      <c r="E38" s="5" t="s">
        <v>258</v>
      </c>
      <c r="F38" s="2" t="s">
        <v>252</v>
      </c>
      <c r="G38" s="5" t="s">
        <v>259</v>
      </c>
      <c r="H38" s="5" t="s">
        <v>260</v>
      </c>
      <c r="I38" s="5" t="s">
        <v>261</v>
      </c>
      <c r="J38" s="5" t="s">
        <v>262</v>
      </c>
      <c r="K38" s="5"/>
      <c r="L38" s="2" t="s">
        <v>26</v>
      </c>
      <c r="M38" s="2" t="s">
        <v>27</v>
      </c>
      <c r="N38" s="5"/>
      <c r="O38" s="5"/>
      <c r="P38" s="5"/>
    </row>
    <row r="39" customFormat="false" ht="35.05" hidden="false" customHeight="false" outlineLevel="0" collapsed="false">
      <c r="A39" s="2" t="s">
        <v>263</v>
      </c>
      <c r="B39" s="2" t="s">
        <v>264</v>
      </c>
      <c r="C39" s="11" t="s">
        <v>250</v>
      </c>
      <c r="D39" s="6" t="s">
        <v>61</v>
      </c>
      <c r="E39" s="5" t="s">
        <v>265</v>
      </c>
      <c r="F39" s="2" t="s">
        <v>252</v>
      </c>
      <c r="G39" s="5" t="s">
        <v>22</v>
      </c>
      <c r="H39" s="5" t="s">
        <v>266</v>
      </c>
      <c r="I39" s="5" t="s">
        <v>267</v>
      </c>
      <c r="J39" s="5" t="s">
        <v>268</v>
      </c>
      <c r="K39" s="5"/>
      <c r="L39" s="2" t="s">
        <v>26</v>
      </c>
      <c r="M39" s="2" t="s">
        <v>119</v>
      </c>
      <c r="N39" s="5"/>
      <c r="O39" s="5"/>
      <c r="P39" s="5"/>
    </row>
    <row r="40" customFormat="false" ht="35.05" hidden="false" customHeight="false" outlineLevel="0" collapsed="false">
      <c r="A40" s="2" t="s">
        <v>269</v>
      </c>
      <c r="B40" s="2" t="s">
        <v>270</v>
      </c>
      <c r="C40" s="11" t="s">
        <v>250</v>
      </c>
      <c r="D40" s="6" t="s">
        <v>61</v>
      </c>
      <c r="E40" s="5" t="s">
        <v>271</v>
      </c>
      <c r="F40" s="2" t="s">
        <v>252</v>
      </c>
      <c r="G40" s="5" t="s">
        <v>32</v>
      </c>
      <c r="H40" s="5" t="s">
        <v>78</v>
      </c>
      <c r="I40" s="5" t="s">
        <v>272</v>
      </c>
      <c r="J40" s="5" t="s">
        <v>273</v>
      </c>
      <c r="K40" s="5"/>
      <c r="L40" s="2" t="s">
        <v>26</v>
      </c>
      <c r="M40" s="2" t="s">
        <v>119</v>
      </c>
      <c r="N40" s="5"/>
      <c r="O40" s="5"/>
      <c r="P40" s="5"/>
    </row>
    <row r="41" customFormat="false" ht="46.25" hidden="false" customHeight="false" outlineLevel="0" collapsed="false">
      <c r="A41" s="2" t="s">
        <v>274</v>
      </c>
      <c r="B41" s="2" t="s">
        <v>275</v>
      </c>
      <c r="C41" s="11" t="s">
        <v>250</v>
      </c>
      <c r="D41" s="7" t="s">
        <v>76</v>
      </c>
      <c r="E41" s="5" t="s">
        <v>276</v>
      </c>
      <c r="F41" s="2" t="s">
        <v>252</v>
      </c>
      <c r="G41" s="5" t="s">
        <v>22</v>
      </c>
      <c r="H41" s="5" t="s">
        <v>277</v>
      </c>
      <c r="I41" s="5" t="s">
        <v>278</v>
      </c>
      <c r="J41" s="5" t="s">
        <v>279</v>
      </c>
      <c r="K41" s="5"/>
      <c r="L41" s="2" t="s">
        <v>26</v>
      </c>
      <c r="M41" s="2" t="s">
        <v>27</v>
      </c>
      <c r="N41" s="5"/>
      <c r="O41" s="5"/>
      <c r="P41" s="5"/>
    </row>
    <row r="42" customFormat="false" ht="35.05" hidden="false" customHeight="false" outlineLevel="0" collapsed="false">
      <c r="A42" s="2" t="s">
        <v>280</v>
      </c>
      <c r="B42" s="2" t="s">
        <v>281</v>
      </c>
      <c r="C42" s="11" t="s">
        <v>250</v>
      </c>
      <c r="D42" s="7" t="s">
        <v>76</v>
      </c>
      <c r="E42" s="5" t="s">
        <v>282</v>
      </c>
      <c r="F42" s="2" t="s">
        <v>252</v>
      </c>
      <c r="G42" s="5" t="s">
        <v>22</v>
      </c>
      <c r="H42" s="5" t="s">
        <v>283</v>
      </c>
      <c r="I42" s="5" t="s">
        <v>284</v>
      </c>
      <c r="J42" s="5" t="s">
        <v>285</v>
      </c>
      <c r="K42" s="5"/>
      <c r="L42" s="2" t="s">
        <v>26</v>
      </c>
      <c r="M42" s="2" t="s">
        <v>51</v>
      </c>
      <c r="N42" s="5"/>
      <c r="O42" s="5"/>
      <c r="P42" s="5"/>
    </row>
  </sheetData>
  <autoFilter ref="A1:P42"/>
  <dataValidations count="1">
    <dataValidation allowBlank="true" errorStyle="stop" operator="between" showDropDown="false" showErrorMessage="false" showInputMessage="false" sqref="L2:L42" type="list">
      <formula1>"Not Executed,Pass,Fail,Blocked,Skipped"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2" t="s">
        <v>286</v>
      </c>
      <c r="B1" s="12"/>
      <c r="C1" s="12"/>
    </row>
    <row r="3" customFormat="false" ht="15" hidden="false" customHeight="false" outlineLevel="0" collapsed="false">
      <c r="A3" s="13" t="s">
        <v>3</v>
      </c>
      <c r="B3" s="14" t="s">
        <v>287</v>
      </c>
    </row>
    <row r="4" customFormat="false" ht="15" hidden="false" customHeight="false" outlineLevel="0" collapsed="false">
      <c r="A4" s="14" t="s">
        <v>19</v>
      </c>
      <c r="B4" s="14" t="n">
        <f aca="false">COUNTIF(NFR_Test_Cases!D2:D42,"Positive")</f>
        <v>19</v>
      </c>
    </row>
    <row r="5" customFormat="false" ht="15" hidden="false" customHeight="false" outlineLevel="0" collapsed="false">
      <c r="A5" s="14" t="s">
        <v>61</v>
      </c>
      <c r="B5" s="14" t="n">
        <f aca="false">COUNTIF(NFR_Test_Cases!D2:D42,"Negative")</f>
        <v>12</v>
      </c>
    </row>
    <row r="6" customFormat="false" ht="15" hidden="false" customHeight="false" outlineLevel="0" collapsed="false">
      <c r="A6" s="14" t="s">
        <v>76</v>
      </c>
      <c r="B6" s="14" t="n">
        <f aca="false">COUNTIF(NFR_Test_Cases!D2:D42,"Edge Case")</f>
        <v>10</v>
      </c>
    </row>
    <row r="7" customFormat="false" ht="15" hidden="false" customHeight="false" outlineLevel="0" collapsed="false">
      <c r="A7" s="14" t="s">
        <v>288</v>
      </c>
      <c r="B7" s="14" t="n">
        <f aca="false">COUNTA(NFR_Test_Cases!A2:A42)</f>
        <v>41</v>
      </c>
    </row>
    <row r="9" customFormat="false" ht="15" hidden="false" customHeight="false" outlineLevel="0" collapsed="false">
      <c r="A9" s="15" t="s">
        <v>289</v>
      </c>
    </row>
    <row r="10" customFormat="false" ht="15" hidden="false" customHeight="false" outlineLevel="0" collapsed="false">
      <c r="A10" s="13" t="s">
        <v>2</v>
      </c>
      <c r="B10" s="14" t="s">
        <v>287</v>
      </c>
    </row>
    <row r="11" customFormat="false" ht="15" hidden="false" customHeight="false" outlineLevel="0" collapsed="false">
      <c r="A11" s="14" t="s">
        <v>18</v>
      </c>
      <c r="B11" s="14" t="n">
        <f aca="false">COUNTIF(NFR_Test_Cases!C2:C42,"Performance")</f>
        <v>10</v>
      </c>
    </row>
    <row r="12" customFormat="false" ht="15" hidden="false" customHeight="false" outlineLevel="0" collapsed="false">
      <c r="A12" s="14" t="s">
        <v>90</v>
      </c>
      <c r="B12" s="14" t="n">
        <f aca="false">COUNTIF(NFR_Test_Cases!C2:C42,"Cross-Browser")</f>
        <v>10</v>
      </c>
    </row>
    <row r="13" customFormat="false" ht="15" hidden="false" customHeight="false" outlineLevel="0" collapsed="false">
      <c r="A13" s="14" t="s">
        <v>155</v>
      </c>
      <c r="B13" s="14" t="n">
        <f aca="false">COUNTIF(NFR_Test_Cases!C2:C42,"Error Quality")</f>
        <v>7</v>
      </c>
    </row>
    <row r="14" customFormat="false" ht="15" hidden="false" customHeight="false" outlineLevel="0" collapsed="false">
      <c r="A14" s="14" t="s">
        <v>202</v>
      </c>
      <c r="B14" s="14" t="n">
        <f aca="false">COUNTIF(NFR_Test_Cases!C2:C42,"Resolution")</f>
        <v>8</v>
      </c>
    </row>
    <row r="15" customFormat="false" ht="15" hidden="false" customHeight="false" outlineLevel="0" collapsed="false">
      <c r="A15" s="14" t="s">
        <v>250</v>
      </c>
      <c r="B15" s="14" t="n">
        <f aca="false">COUNTIF(NFR_Test_Cases!C2:C42,"Security")</f>
        <v>6</v>
      </c>
    </row>
    <row r="17" customFormat="false" ht="15" hidden="false" customHeight="false" outlineLevel="0" collapsed="false">
      <c r="A17" s="15" t="s">
        <v>290</v>
      </c>
    </row>
    <row r="18" customFormat="false" ht="15" hidden="false" customHeight="false" outlineLevel="0" collapsed="false">
      <c r="A18" s="13" t="s">
        <v>11</v>
      </c>
      <c r="B18" s="14" t="s">
        <v>287</v>
      </c>
    </row>
    <row r="19" customFormat="false" ht="15" hidden="false" customHeight="false" outlineLevel="0" collapsed="false">
      <c r="A19" s="14" t="s">
        <v>291</v>
      </c>
      <c r="B19" s="14" t="n">
        <f aca="false">COUNTIF(NFR_Test_Cases!L2:L42,"Pass")</f>
        <v>0</v>
      </c>
    </row>
    <row r="20" customFormat="false" ht="15" hidden="false" customHeight="false" outlineLevel="0" collapsed="false">
      <c r="A20" s="14" t="s">
        <v>292</v>
      </c>
      <c r="B20" s="14" t="n">
        <f aca="false">COUNTIF(NFR_Test_Cases!L2:L42,"Fail")</f>
        <v>0</v>
      </c>
    </row>
    <row r="21" customFormat="false" ht="15" hidden="false" customHeight="false" outlineLevel="0" collapsed="false">
      <c r="A21" s="14" t="s">
        <v>293</v>
      </c>
      <c r="B21" s="14" t="n">
        <f aca="false">COUNTIF(NFR_Test_Cases!L2:L42,"Blocked")</f>
        <v>0</v>
      </c>
    </row>
    <row r="22" customFormat="false" ht="15" hidden="false" customHeight="false" outlineLevel="0" collapsed="false">
      <c r="A22" s="14" t="s">
        <v>26</v>
      </c>
      <c r="B22" s="14" t="n">
        <f aca="false">COUNTIF(NFR_Test_Cases!L2:L42,"Not Executed")</f>
        <v>41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2026-07-18T15:33:09Z</dcterms:created>
  <dc:creator>openpyxl</dc:creator>
  <dc:description/>
  <dc:language>en-US</dc:language>
  <cp:lastModifiedBy/>
  <dcterms:modified xsi:type="dcterms:W3CDTF">2026-07-18T15:33:09Z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
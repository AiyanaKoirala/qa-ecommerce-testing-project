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_Mgmt_Test_Cases" sheetId="1" state="visible" r:id="rId3"/>
    <sheet name="Summary" sheetId="2" state="visible" r:id="rId4"/>
  </sheets>
  <definedNames>
    <definedName function="false" hidden="true" localSheetId="0" name="_xlnm._FilterDatabase" vbProcedure="false">Cart_Mgmt_Test_Cases!$A$1:$O$30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<sst xmlns="http://schemas.openxmlformats.org/spreadsheetml/2006/main" count="348" uniqueCount="229">
  <si>
    <t xml:space="preserve">Test Case ID</t>
  </si>
  <si>
    <t xml:space="preserve">Scenario ID</t>
  </si>
  <si>
    <t xml:space="preserve">Category</t>
  </si>
  <si>
    <t xml:space="preserve">Test Case Title</t>
  </si>
  <si>
    <t xml:space="preserve">Related Req ID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</si>
  <si>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</si>
  <si>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</si>
  <si>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</si>
  <si>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</si>
  <si>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</si>
  <si>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</si>
  <si>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</si>
  <si>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Executed By</t>
  </si>
  <si>
    <t xml:space="preserve">Date</t>
  </si>
  <si>
    <t xml:space="preserve">Defect ID / Remarks</t>
  </si>
  <si>
    <t xml:space="preserve">TC-CART-001</t>
  </si>
  <si>
    <t xml:space="preserve">TS-CART-001</t>
  </si>
  <si>
    <t xml:space="preserve">Positive</t>
  </si>
  <si>
    <t xml:space="preserve">Add single product to cart</t>
  </si>
  <si>
    <t xml:space="preserve">FR-14</t>
  </si>
  <si>
    <t xml:space="preserve">User is logged in and on Inventory page</t>
  </si>
  <si>
    <t xml:space="preserve">1. Click 'Add to Cart' on Sauce Labs Backpack
2. Observe cart badge</t>
  </si>
  <si>
    <t xml:space="preserve">Product: Sauce Labs Backpack</t>
  </si>
  <si>
    <t xml:space="preserve">Cart badge shows '1'; button changes to 'Remove'</t>
  </si>
  <si>
    <t xml:space="preserve">Not Executed</t>
  </si>
  <si>
    <t xml:space="preserve">High</t>
  </si>
  <si>
    <t xml:space="preserve">TC-CART-002</t>
  </si>
  <si>
    <t xml:space="preserve">TS-CART-002</t>
  </si>
  <si>
    <t xml:space="preserve">Add multiple different products</t>
  </si>
  <si>
    <t xml:space="preserve">1. Click 'Add to Cart' on 3 different products
2. Observe cart badge</t>
  </si>
  <si>
    <t xml:space="preserve">Products: Backpack, Bike Light, Bolt T-Shirt</t>
  </si>
  <si>
    <t xml:space="preserve">Cart badge shows '3'; all 3 buttons changed to 'Remove'</t>
  </si>
  <si>
    <t xml:space="preserve">TC-CART-003</t>
  </si>
  <si>
    <t xml:space="preserve">TS-CART-003</t>
  </si>
  <si>
    <t xml:space="preserve">Badge count increases correctly per add</t>
  </si>
  <si>
    <t xml:space="preserve">User is on Inventory page with empty cart</t>
  </si>
  <si>
    <t xml:space="preserve">1. Add product 1, note badge
2. Add product 2, note badge
3. Add product 3, note badge</t>
  </si>
  <si>
    <t xml:space="preserve">3 products added sequentially</t>
  </si>
  <si>
    <t xml:space="preserve">Badge reads 1, then 2, then 3 respectively — increments by exactly 1 each time</t>
  </si>
  <si>
    <t xml:space="preserve">TC-CART-004</t>
  </si>
  <si>
    <t xml:space="preserve">TS-CART-004</t>
  </si>
  <si>
    <t xml:space="preserve">Button label changes after add</t>
  </si>
  <si>
    <t xml:space="preserve">User is on Inventory page</t>
  </si>
  <si>
    <t xml:space="preserve">1. Click 'Add to Cart' on a product
2. Observe the button text on that product</t>
  </si>
  <si>
    <t xml:space="preserve">Product: Sauce Labs Onesie</t>
  </si>
  <si>
    <t xml:space="preserve">Button label changes from 'Add to Cart' to 'Remove' immediately</t>
  </si>
  <si>
    <t xml:space="preserve">Medium</t>
  </si>
  <si>
    <t xml:space="preserve">TC-CART-005</t>
  </si>
  <si>
    <t xml:space="preserve">TS-CART-005</t>
  </si>
  <si>
    <t xml:space="preserve">Remove item via Inventory page button</t>
  </si>
  <si>
    <t xml:space="preserve">FR-15</t>
  </si>
  <si>
    <t xml:space="preserve">Product is already in the cart</t>
  </si>
  <si>
    <t xml:space="preserve">1. On Inventory page, click 'Remove' on the added product
2. Observe cart badge</t>
  </si>
  <si>
    <t xml:space="preserve">Product: Sauce Labs Backpack (pre-added)</t>
  </si>
  <si>
    <t xml:space="preserve">Item is removed; badge count decreases by 1; button reverts to 'Add to Cart'</t>
  </si>
  <si>
    <t xml:space="preserve">TC-CART-006</t>
  </si>
  <si>
    <t xml:space="preserve">TS-CART-006</t>
  </si>
  <si>
    <t xml:space="preserve">Remove item via Cart page button</t>
  </si>
  <si>
    <t xml:space="preserve">Product is already in the cart; user is on Cart page</t>
  </si>
  <si>
    <t xml:space="preserve">1. On Cart page, click 'Remove' next to the item
2. Observe cart list and badge</t>
  </si>
  <si>
    <t xml:space="preserve">Product: Sauce Labs Bike Light (pre-added)</t>
  </si>
  <si>
    <t xml:space="preserve">Item disappears from Cart page list; badge count decreases by 1</t>
  </si>
  <si>
    <t xml:space="preserve">TC-CART-007</t>
  </si>
  <si>
    <t xml:space="preserve">TS-CART-007</t>
  </si>
  <si>
    <t xml:space="preserve">Badge updates instantly on remove, no reload</t>
  </si>
  <si>
    <t xml:space="preserve">2 products are in the cart</t>
  </si>
  <si>
    <t xml:space="preserve">1. Remove 1 item from the Cart page
2. Observe badge count without refreshing the page</t>
  </si>
  <si>
    <t xml:space="preserve">Cart: 2 items pre-added</t>
  </si>
  <si>
    <t xml:space="preserve">Badge updates from '2' to '1' instantly with no page reload required</t>
  </si>
  <si>
    <t xml:space="preserve">TC-CART-008</t>
  </si>
  <si>
    <t xml:space="preserve">TS-CART-008</t>
  </si>
  <si>
    <t xml:space="preserve">Cart persists across Inventory &lt;-&gt; Cart navigation</t>
  </si>
  <si>
    <t xml:space="preserve">FR-16</t>
  </si>
  <si>
    <t xml:space="preserve">1 product is in the cart</t>
  </si>
  <si>
    <t xml:space="preserve">1. Navigate to Cart page
2. Navigate back to Inventory page
3. Navigate to Cart page again</t>
  </si>
  <si>
    <t xml:space="preserve">Product: Sauce Labs Fleece Jacket (pre-added)</t>
  </si>
  <si>
    <t xml:space="preserve">Item remains in cart across both navigations</t>
  </si>
  <si>
    <t xml:space="preserve">TC-CART-009</t>
  </si>
  <si>
    <t xml:space="preserve">TS-CART-009</t>
  </si>
  <si>
    <t xml:space="preserve">Cart persists after opening product detail page</t>
  </si>
  <si>
    <t xml:space="preserve">1. Open a different product's detail page
2. Click 'Back to products'
3. Check cart badge</t>
  </si>
  <si>
    <t xml:space="preserve">Cart: 1 item pre-added; viewing a different product's detail page</t>
  </si>
  <si>
    <t xml:space="preserve">Cart badge still shows the original item count; no data lost</t>
  </si>
  <si>
    <t xml:space="preserve">TC-CART-010</t>
  </si>
  <si>
    <t xml:space="preserve">TS-CART-010</t>
  </si>
  <si>
    <t xml:space="preserve">Cart page shows correct item names and prices</t>
  </si>
  <si>
    <t xml:space="preserve">FR-17</t>
  </si>
  <si>
    <t xml:space="preserve">2 known products are in the cart</t>
  </si>
  <si>
    <t xml:space="preserve">1. Navigate to Cart page
2. Compare displayed item names/prices to what was added</t>
  </si>
  <si>
    <t xml:space="preserve">Products: Backpack ($29.99), Bike Light ($9.99)</t>
  </si>
  <si>
    <t xml:space="preserve">Cart page lists exactly these 2 items with matching names and prices</t>
  </si>
  <si>
    <t xml:space="preserve">TC-CART-011</t>
  </si>
  <si>
    <t xml:space="preserve">TS-CART-011</t>
  </si>
  <si>
    <t xml:space="preserve">Cart page count matches header badge</t>
  </si>
  <si>
    <t xml:space="preserve">3 products are in the cart</t>
  </si>
  <si>
    <t xml:space="preserve">1. Note the header badge count
2. Navigate to Cart page
3. Count the listed items</t>
  </si>
  <si>
    <t xml:space="preserve">Cart: 3 items pre-added</t>
  </si>
  <si>
    <t xml:space="preserve">Number of items listed on Cart page equals the header badge count (3)</t>
  </si>
  <si>
    <t xml:space="preserve">TC-CART-012</t>
  </si>
  <si>
    <t xml:space="preserve">TS-CART-012</t>
  </si>
  <si>
    <t xml:space="preserve">Continue Shopping preserves cart</t>
  </si>
  <si>
    <t xml:space="preserve">FR-18</t>
  </si>
  <si>
    <t xml:space="preserve">User is on Cart page with items added</t>
  </si>
  <si>
    <t xml:space="preserve">1. Click 'Continue Shopping'
2. Observe Inventory page and cart badge</t>
  </si>
  <si>
    <t xml:space="preserve">User returns to Inventory page; cart badge still shows 2</t>
  </si>
  <si>
    <t xml:space="preserve">TC-CART-013</t>
  </si>
  <si>
    <t xml:space="preserve">TS-CART-013</t>
  </si>
  <si>
    <t xml:space="preserve">No duplicate line item for same product</t>
  </si>
  <si>
    <t xml:space="preserve">FR-19</t>
  </si>
  <si>
    <t xml:space="preserve">A product has already been added to the cart</t>
  </si>
  <si>
    <t xml:space="preserve">1. Confirm the product's button now reads 'Remove'
2. Attempt to find an 'Add to Cart' option for the same item</t>
  </si>
  <si>
    <t xml:space="preserve">Product: Sauce Labs Backpack (already added)</t>
  </si>
  <si>
    <t xml:space="preserve">Only 'Remove' is available for that product; no way to add it again as a second line item</t>
  </si>
  <si>
    <t xml:space="preserve">TC-CART-014</t>
  </si>
  <si>
    <t xml:space="preserve">TS-CART-014</t>
  </si>
  <si>
    <t xml:space="preserve">Fresh login shows correctly empty cart</t>
  </si>
  <si>
    <t xml:space="preserve">FR-20</t>
  </si>
  <si>
    <t xml:space="preserve">User has just logged in with no prior cart activity</t>
  </si>
  <si>
    <t xml:space="preserve">1. Log in with a fresh session
2. Navigate to Cart page</t>
  </si>
  <si>
    <t xml:space="preserve">New login session</t>
  </si>
  <si>
    <t xml:space="preserve">Cart page shows 0 items with no error or broken layout</t>
  </si>
  <si>
    <t xml:space="preserve">Low</t>
  </si>
  <si>
    <t xml:space="preserve">TC-CART-015</t>
  </si>
  <si>
    <t xml:space="preserve">TS-CART-015</t>
  </si>
  <si>
    <t xml:space="preserve">Negative</t>
  </si>
  <si>
    <t xml:space="preserve">Double-click add does not duplicate item</t>
  </si>
  <si>
    <t xml:space="preserve">1. Rapidly double-click 'Add to Cart' on a single product
2. Observe cart badge</t>
  </si>
  <si>
    <t xml:space="preserve">Product: Sauce Labs Bolt T-Shirt</t>
  </si>
  <si>
    <t xml:space="preserve">Cart badge shows '1', not '2'; only one instance of the product is added</t>
  </si>
  <si>
    <t xml:space="preserve">TC-CART-016</t>
  </si>
  <si>
    <t xml:space="preserve">TS-CART-016</t>
  </si>
  <si>
    <t xml:space="preserve">Removing one item does not affect others</t>
  </si>
  <si>
    <t xml:space="preserve">1. Remove only the 2nd item from the Cart page
2. Inspect remaining items</t>
  </si>
  <si>
    <t xml:space="preserve">Cart: Backpack, Bike Light, Fleece Jacket</t>
  </si>
  <si>
    <t xml:space="preserve">Only the targeted item is removed; the other 2 items remain unchanged in the cart</t>
  </si>
  <si>
    <t xml:space="preserve">TC-CART-017</t>
  </si>
  <si>
    <t xml:space="preserve">TS-CART-017</t>
  </si>
  <si>
    <t xml:space="preserve">No stale count after rapid add/remove</t>
  </si>
  <si>
    <t xml:space="preserve">FR-14 / FR-15</t>
  </si>
  <si>
    <t xml:space="preserve">1. Rapidly add, remove, add, remove the same product several times in succession
2. Check final badge count</t>
  </si>
  <si>
    <t xml:space="preserve">Product: Sauce Labs Onesie, toggled 4x</t>
  </si>
  <si>
    <t xml:space="preserve">Final badge count accurately reflects the last action (0 or 1, matching the last click), not a stale/incorrect number</t>
  </si>
  <si>
    <t xml:space="preserve">TC-CART-018</t>
  </si>
  <si>
    <t xml:space="preserve">TS-CART-018</t>
  </si>
  <si>
    <t xml:space="preserve">No phantom items in cart</t>
  </si>
  <si>
    <t xml:space="preserve">User has never added the item in question</t>
  </si>
  <si>
    <t xml:space="preserve">1. Navigate to Cart page without adding any products</t>
  </si>
  <si>
    <t xml:space="preserve">N/A</t>
  </si>
  <si>
    <t xml:space="preserve">Cart page shows no items; specifically does not show any product that was never added</t>
  </si>
  <si>
    <t xml:space="preserve">TC-CART-019</t>
  </si>
  <si>
    <t xml:space="preserve">TS-CART-019</t>
  </si>
  <si>
    <t xml:space="preserve">Cart not silently cleared on navigation</t>
  </si>
  <si>
    <t xml:space="preserve">1. Navigate to Cart page and view it
2. Navigate to About or another page without interacting with the cart
3. Return to Cart page</t>
  </si>
  <si>
    <t xml:space="preserve">Cart: 1 item pre-added</t>
  </si>
  <si>
    <t xml:space="preserve">Item is still present; cart was not silently cleared by mere navigation</t>
  </si>
  <si>
    <t xml:space="preserve">TC-CART-020</t>
  </si>
  <si>
    <t xml:space="preserve">TS-CART-020</t>
  </si>
  <si>
    <t xml:space="preserve">Checkout blocked from empty cart</t>
  </si>
  <si>
    <t xml:space="preserve">Cart is empty</t>
  </si>
  <si>
    <t xml:space="preserve">1. Navigate to Cart page with 0 items
2. Attempt to click 'Checkout'</t>
  </si>
  <si>
    <t xml:space="preserve">Cart: 0 items</t>
  </si>
  <si>
    <t xml:space="preserve">Checkout is either disabled/hidden, or proceeding leads to a clear message rather than a broken/empty order flow</t>
  </si>
  <si>
    <t xml:space="preserve">TC-CART-021</t>
  </si>
  <si>
    <t xml:space="preserve">TS-CART-021</t>
  </si>
  <si>
    <t xml:space="preserve">Remove button not clickable after removal</t>
  </si>
  <si>
    <t xml:space="preserve">Product was added then removed</t>
  </si>
  <si>
    <t xml:space="preserve">1. Add a product, then remove it
2. Inspect the product's button state on the Inventory page</t>
  </si>
  <si>
    <t xml:space="preserve">Product: Sauce Labs Backpack, added then removed</t>
  </si>
  <si>
    <t xml:space="preserve">Button correctly reverts to 'Add to Cart'; no leftover 'Remove' state remains clickable</t>
  </si>
  <si>
    <t xml:space="preserve">TC-CART-022</t>
  </si>
  <si>
    <t xml:space="preserve">TS-CART-022</t>
  </si>
  <si>
    <t xml:space="preserve">Edge Case</t>
  </si>
  <si>
    <t xml:space="preserve">Add all available products</t>
  </si>
  <si>
    <t xml:space="preserve">1. Click 'Add to Cart' on all 6 available products
2. Observe final badge count</t>
  </si>
  <si>
    <t xml:space="preserve">All 6 SauceDemo products</t>
  </si>
  <si>
    <t xml:space="preserve">Badge count correctly shows 6; all buttons show 'Remove'</t>
  </si>
  <si>
    <t xml:space="preserve">TC-CART-023</t>
  </si>
  <si>
    <t xml:space="preserve">TS-CART-023</t>
  </si>
  <si>
    <t xml:space="preserve">Remove all items returns to empty state</t>
  </si>
  <si>
    <t xml:space="preserve">FR-15 / FR-20</t>
  </si>
  <si>
    <t xml:space="preserve">All 6 products are in the cart</t>
  </si>
  <si>
    <t xml:space="preserve">1. Remove each item one by one from the Cart page
2. Observe badge and empty state after the last removal</t>
  </si>
  <si>
    <t xml:space="preserve">Cart: 6 items pre-added, removed one at a time</t>
  </si>
  <si>
    <t xml:space="preserve">Badge returns to 0 and Cart page shows the correctly empty state with no leftover items</t>
  </si>
  <si>
    <t xml:space="preserve">TC-CART-024</t>
  </si>
  <si>
    <t xml:space="preserve">TS-CART-024</t>
  </si>
  <si>
    <t xml:space="preserve">Cart persists after page refresh</t>
  </si>
  <si>
    <t xml:space="preserve">1. Refresh the browser page (F5) while on Inventory or Cart page
2. Observe cart badge after reload</t>
  </si>
  <si>
    <t xml:space="preserve">Cart badge still shows 2 after refresh (session-level persistence, not lost on reload)</t>
  </si>
  <si>
    <t xml:space="preserve">TC-CART-025</t>
  </si>
  <si>
    <t xml:space="preserve">TS-CART-025</t>
  </si>
  <si>
    <t xml:space="preserve">Cart behavior after logout/re-login is consistent</t>
  </si>
  <si>
    <t xml:space="preserve">1. Log out with items in cart
2. Log back in
3. Check cart badge</t>
  </si>
  <si>
    <t xml:space="preserve">Cart: 1 item pre-added, then logout/login</t>
  </si>
  <si>
    <t xml:space="preserve">Cart state after re-login is consistent and predictable per the defined session policy (documented if it clears or persists)</t>
  </si>
  <si>
    <t xml:space="preserve">TC-CART-026</t>
  </si>
  <si>
    <t xml:space="preserve">TS-CART-026</t>
  </si>
  <si>
    <t xml:space="preserve">Quick add-then-remove leaves correct state</t>
  </si>
  <si>
    <t xml:space="preserve">1. Click 'Add to Cart'
2. Immediately click 'Remove' on the same product</t>
  </si>
  <si>
    <t xml:space="preserve">Product: Sauce Labs Fleece Jacket</t>
  </si>
  <si>
    <t xml:space="preserve">Cart badge returns to 0; no partial/corrupted state; button correctly reads 'Add to Cart'</t>
  </si>
  <si>
    <t xml:space="preserve">TC-CART-027</t>
  </si>
  <si>
    <t xml:space="preserve">TS-CART-027</t>
  </si>
  <si>
    <t xml:space="preserve">Cart page renders correctly at max items</t>
  </si>
  <si>
    <t xml:space="preserve">1. Navigate to Cart page with all 6 items
2. Visually inspect layout for overflow/truncation</t>
  </si>
  <si>
    <t xml:space="preserve">Cart: 6 items (maximum)</t>
  </si>
  <si>
    <t xml:space="preserve">All 6 items display cleanly with no layout overflow, truncated text, or missing data</t>
  </si>
  <si>
    <t xml:space="preserve">TC-CART-028</t>
  </si>
  <si>
    <t xml:space="preserve">TS-CART-028</t>
  </si>
  <si>
    <t xml:space="preserve">Back button after remove does not restore item</t>
  </si>
  <si>
    <t xml:space="preserve">1 product was in the cart, then removed</t>
  </si>
  <si>
    <t xml:space="preserve">1. Remove an item from the Cart page
2. Click the browser Back button
3. Observe cart state</t>
  </si>
  <si>
    <t xml:space="preserve">Product removed, then Back button pressed</t>
  </si>
  <si>
    <t xml:space="preserve">Item remains removed; Back button does not incorrectly restore it to the cart</t>
  </si>
  <si>
    <t xml:space="preserve">TC-CART-029</t>
  </si>
  <si>
    <t xml:space="preserve">TS-CART-029</t>
  </si>
  <si>
    <t xml:space="preserve">Cart state consistent across two tabs</t>
  </si>
  <si>
    <t xml:space="preserve">FR-16 / FR-17</t>
  </si>
  <si>
    <t xml:space="preserve">User is logged in with 1 item in cart, same account open in 2 tabs</t>
  </si>
  <si>
    <t xml:space="preserve">1. Add an item in Tab 1
2. Switch to Tab 2 and refresh
3. Compare cart state in both tabs</t>
  </si>
  <si>
    <t xml:space="preserve">1 item added in Tab 1, checked in Tab 2</t>
  </si>
  <si>
    <t xml:space="preserve">Tab 2 reflects the same cart state as Tab 1 after refresh (consistent session state)</t>
  </si>
  <si>
    <t xml:space="preserve">Cart Management Test Case Summary</t>
  </si>
  <si>
    <t xml:space="preserve">Count</t>
  </si>
  <si>
    <t xml:space="preserve">Total</t>
  </si>
  <si>
    <t xml:space="preserve">Execution Status</t>
  </si>
  <si>
    <t xml:space="preserve">Pass</t>
  </si>
  <si>
    <t xml:space="preserve">Fail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</si>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</sst>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42"/>
    <col collapsed="false" customWidth="true" hidden="false" outlineLevel="0" max="8" min="8" style="0" width="26"/>
    <col collapsed="false" customWidth="true" hidden="false" outlineLevel="0" max="9" min="9" style="0" width="42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3.85" hidden="false" customHeight="false" outlineLevel="0" collapsed="false">
      <c r="A2" s="2" t="s">
        <v>15</v>
      </c>
      <c r="B2" s="2" t="s">
        <v>16</v>
      </c>
      <c r="C2" s="3" t="s">
        <v>17</v>
      </c>
      <c r="D2" s="4" t="s">
        <v>18</v>
      </c>
      <c r="E2" s="2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/>
      <c r="K2" s="2" t="s">
        <v>24</v>
      </c>
      <c r="L2" s="2" t="s">
        <v>25</v>
      </c>
      <c r="M2" s="4"/>
      <c r="N2" s="4"/>
      <c r="O2" s="4"/>
    </row>
    <row r="3" customFormat="false" ht="23.85" hidden="false" customHeight="false" outlineLevel="0" collapsed="false">
      <c r="A3" s="2" t="s">
        <v>26</v>
      </c>
      <c r="B3" s="2" t="s">
        <v>27</v>
      </c>
      <c r="C3" s="3" t="s">
        <v>17</v>
      </c>
      <c r="D3" s="4" t="s">
        <v>28</v>
      </c>
      <c r="E3" s="2" t="s">
        <v>19</v>
      </c>
      <c r="F3" s="4" t="s">
        <v>20</v>
      </c>
      <c r="G3" s="4" t="s">
        <v>29</v>
      </c>
      <c r="H3" s="4" t="s">
        <v>30</v>
      </c>
      <c r="I3" s="4" t="s">
        <v>31</v>
      </c>
      <c r="J3" s="4"/>
      <c r="K3" s="2" t="s">
        <v>24</v>
      </c>
      <c r="L3" s="2" t="s">
        <v>25</v>
      </c>
      <c r="M3" s="4"/>
      <c r="N3" s="4"/>
      <c r="O3" s="4"/>
    </row>
    <row r="4" customFormat="false" ht="35.05" hidden="false" customHeight="false" outlineLevel="0" collapsed="false">
      <c r="A4" s="2" t="s">
        <v>32</v>
      </c>
      <c r="B4" s="2" t="s">
        <v>33</v>
      </c>
      <c r="C4" s="3" t="s">
        <v>17</v>
      </c>
      <c r="D4" s="4" t="s">
        <v>34</v>
      </c>
      <c r="E4" s="2" t="s">
        <v>19</v>
      </c>
      <c r="F4" s="4" t="s">
        <v>35</v>
      </c>
      <c r="G4" s="4" t="s">
        <v>36</v>
      </c>
      <c r="H4" s="4" t="s">
        <v>37</v>
      </c>
      <c r="I4" s="4" t="s">
        <v>38</v>
      </c>
      <c r="J4" s="4"/>
      <c r="K4" s="2" t="s">
        <v>24</v>
      </c>
      <c r="L4" s="2" t="s">
        <v>25</v>
      </c>
      <c r="M4" s="4"/>
      <c r="N4" s="4"/>
      <c r="O4" s="4"/>
    </row>
    <row r="5" customFormat="false" ht="23.85" hidden="false" customHeight="false" outlineLevel="0" collapsed="false">
      <c r="A5" s="2" t="s">
        <v>39</v>
      </c>
      <c r="B5" s="2" t="s">
        <v>40</v>
      </c>
      <c r="C5" s="3" t="s">
        <v>17</v>
      </c>
      <c r="D5" s="4" t="s">
        <v>41</v>
      </c>
      <c r="E5" s="2" t="s">
        <v>19</v>
      </c>
      <c r="F5" s="4" t="s">
        <v>42</v>
      </c>
      <c r="G5" s="4" t="s">
        <v>43</v>
      </c>
      <c r="H5" s="4" t="s">
        <v>44</v>
      </c>
      <c r="I5" s="4" t="s">
        <v>45</v>
      </c>
      <c r="J5" s="4"/>
      <c r="K5" s="2" t="s">
        <v>24</v>
      </c>
      <c r="L5" s="2" t="s">
        <v>46</v>
      </c>
      <c r="M5" s="4"/>
      <c r="N5" s="4"/>
      <c r="O5" s="4"/>
    </row>
    <row r="6" customFormat="false" ht="35.05" hidden="false" customHeight="false" outlineLevel="0" collapsed="false">
      <c r="A6" s="2" t="s">
        <v>47</v>
      </c>
      <c r="B6" s="2" t="s">
        <v>48</v>
      </c>
      <c r="C6" s="3" t="s">
        <v>17</v>
      </c>
      <c r="D6" s="4" t="s">
        <v>49</v>
      </c>
      <c r="E6" s="2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/>
      <c r="K6" s="2" t="s">
        <v>24</v>
      </c>
      <c r="L6" s="2" t="s">
        <v>25</v>
      </c>
      <c r="M6" s="4"/>
      <c r="N6" s="4"/>
      <c r="O6" s="4"/>
    </row>
    <row r="7" customFormat="false" ht="23.85" hidden="false" customHeight="false" outlineLevel="0" collapsed="false">
      <c r="A7" s="2" t="s">
        <v>55</v>
      </c>
      <c r="B7" s="2" t="s">
        <v>56</v>
      </c>
      <c r="C7" s="3" t="s">
        <v>17</v>
      </c>
      <c r="D7" s="4" t="s">
        <v>57</v>
      </c>
      <c r="E7" s="2" t="s">
        <v>50</v>
      </c>
      <c r="F7" s="4" t="s">
        <v>58</v>
      </c>
      <c r="G7" s="4" t="s">
        <v>59</v>
      </c>
      <c r="H7" s="4" t="s">
        <v>60</v>
      </c>
      <c r="I7" s="4" t="s">
        <v>61</v>
      </c>
      <c r="J7" s="4"/>
      <c r="K7" s="2" t="s">
        <v>24</v>
      </c>
      <c r="L7" s="2" t="s">
        <v>25</v>
      </c>
      <c r="M7" s="4"/>
      <c r="N7" s="4"/>
      <c r="O7" s="4"/>
    </row>
    <row r="8" customFormat="false" ht="35.05" hidden="false" customHeight="false" outlineLevel="0" collapsed="false">
      <c r="A8" s="2" t="s">
        <v>62</v>
      </c>
      <c r="B8" s="2" t="s">
        <v>63</v>
      </c>
      <c r="C8" s="3" t="s">
        <v>17</v>
      </c>
      <c r="D8" s="4" t="s">
        <v>64</v>
      </c>
      <c r="E8" s="2" t="s">
        <v>50</v>
      </c>
      <c r="F8" s="4" t="s">
        <v>65</v>
      </c>
      <c r="G8" s="4" t="s">
        <v>66</v>
      </c>
      <c r="H8" s="4" t="s">
        <v>67</v>
      </c>
      <c r="I8" s="4" t="s">
        <v>68</v>
      </c>
      <c r="J8" s="4"/>
      <c r="K8" s="2" t="s">
        <v>24</v>
      </c>
      <c r="L8" s="2" t="s">
        <v>25</v>
      </c>
      <c r="M8" s="4"/>
      <c r="N8" s="4"/>
      <c r="O8" s="4"/>
    </row>
    <row r="9" customFormat="false" ht="35.05" hidden="false" customHeight="false" outlineLevel="0" collapsed="false">
      <c r="A9" s="2" t="s">
        <v>69</v>
      </c>
      <c r="B9" s="2" t="s">
        <v>70</v>
      </c>
      <c r="C9" s="3" t="s">
        <v>17</v>
      </c>
      <c r="D9" s="4" t="s">
        <v>71</v>
      </c>
      <c r="E9" s="2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/>
      <c r="K9" s="2" t="s">
        <v>24</v>
      </c>
      <c r="L9" s="2" t="s">
        <v>46</v>
      </c>
      <c r="M9" s="4"/>
      <c r="N9" s="4"/>
      <c r="O9" s="4"/>
    </row>
    <row r="10" customFormat="false" ht="35.05" hidden="false" customHeight="false" outlineLevel="0" collapsed="false">
      <c r="A10" s="2" t="s">
        <v>77</v>
      </c>
      <c r="B10" s="2" t="s">
        <v>78</v>
      </c>
      <c r="C10" s="3" t="s">
        <v>17</v>
      </c>
      <c r="D10" s="4" t="s">
        <v>79</v>
      </c>
      <c r="E10" s="2" t="s">
        <v>72</v>
      </c>
      <c r="F10" s="4" t="s">
        <v>73</v>
      </c>
      <c r="G10" s="4" t="s">
        <v>80</v>
      </c>
      <c r="H10" s="4" t="s">
        <v>81</v>
      </c>
      <c r="I10" s="4" t="s">
        <v>82</v>
      </c>
      <c r="J10" s="4"/>
      <c r="K10" s="2" t="s">
        <v>24</v>
      </c>
      <c r="L10" s="2" t="s">
        <v>46</v>
      </c>
      <c r="M10" s="4"/>
      <c r="N10" s="4"/>
      <c r="O10" s="4"/>
    </row>
    <row r="11" customFormat="false" ht="35.05" hidden="false" customHeight="false" outlineLevel="0" collapsed="false">
      <c r="A11" s="2" t="s">
        <v>83</v>
      </c>
      <c r="B11" s="2" t="s">
        <v>84</v>
      </c>
      <c r="C11" s="3" t="s">
        <v>17</v>
      </c>
      <c r="D11" s="4" t="s">
        <v>85</v>
      </c>
      <c r="E11" s="2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/>
      <c r="K11" s="2" t="s">
        <v>24</v>
      </c>
      <c r="L11" s="2" t="s">
        <v>25</v>
      </c>
      <c r="M11" s="4"/>
      <c r="N11" s="4"/>
      <c r="O11" s="4"/>
    </row>
    <row r="12" customFormat="false" ht="35.05" hidden="false" customHeight="false" outlineLevel="0" collapsed="false">
      <c r="A12" s="2" t="s">
        <v>91</v>
      </c>
      <c r="B12" s="2" t="s">
        <v>92</v>
      </c>
      <c r="C12" s="3" t="s">
        <v>17</v>
      </c>
      <c r="D12" s="4" t="s">
        <v>93</v>
      </c>
      <c r="E12" s="2" t="s">
        <v>86</v>
      </c>
      <c r="F12" s="4" t="s">
        <v>94</v>
      </c>
      <c r="G12" s="4" t="s">
        <v>95</v>
      </c>
      <c r="H12" s="4" t="s">
        <v>96</v>
      </c>
      <c r="I12" s="4" t="s">
        <v>97</v>
      </c>
      <c r="J12" s="4"/>
      <c r="K12" s="2" t="s">
        <v>24</v>
      </c>
      <c r="L12" s="2" t="s">
        <v>25</v>
      </c>
      <c r="M12" s="4"/>
      <c r="N12" s="4"/>
      <c r="O12" s="4"/>
    </row>
    <row r="13" customFormat="false" ht="23.85" hidden="false" customHeight="false" outlineLevel="0" collapsed="false">
      <c r="A13" s="2" t="s">
        <v>98</v>
      </c>
      <c r="B13" s="2" t="s">
        <v>99</v>
      </c>
      <c r="C13" s="3" t="s">
        <v>17</v>
      </c>
      <c r="D13" s="4" t="s">
        <v>100</v>
      </c>
      <c r="E13" s="2" t="s">
        <v>101</v>
      </c>
      <c r="F13" s="4" t="s">
        <v>102</v>
      </c>
      <c r="G13" s="4" t="s">
        <v>103</v>
      </c>
      <c r="H13" s="4" t="s">
        <v>67</v>
      </c>
      <c r="I13" s="4" t="s">
        <v>104</v>
      </c>
      <c r="J13" s="4"/>
      <c r="K13" s="2" t="s">
        <v>24</v>
      </c>
      <c r="L13" s="2" t="s">
        <v>46</v>
      </c>
      <c r="M13" s="4"/>
      <c r="N13" s="4"/>
      <c r="O13" s="4"/>
    </row>
    <row r="14" customFormat="false" ht="35.05" hidden="false" customHeight="false" outlineLevel="0" collapsed="false">
      <c r="A14" s="2" t="s">
        <v>105</v>
      </c>
      <c r="B14" s="2" t="s">
        <v>106</v>
      </c>
      <c r="C14" s="3" t="s">
        <v>17</v>
      </c>
      <c r="D14" s="4" t="s">
        <v>107</v>
      </c>
      <c r="E14" s="2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/>
      <c r="K14" s="2" t="s">
        <v>24</v>
      </c>
      <c r="L14" s="2" t="s">
        <v>46</v>
      </c>
      <c r="M14" s="4"/>
      <c r="N14" s="4"/>
      <c r="O14" s="4"/>
    </row>
    <row r="15" customFormat="false" ht="23.85" hidden="false" customHeight="false" outlineLevel="0" collapsed="false">
      <c r="A15" s="2" t="s">
        <v>113</v>
      </c>
      <c r="B15" s="2" t="s">
        <v>114</v>
      </c>
      <c r="C15" s="3" t="s">
        <v>17</v>
      </c>
      <c r="D15" s="4" t="s">
        <v>115</v>
      </c>
      <c r="E15" s="2" t="s">
        <v>116</v>
      </c>
      <c r="F15" s="4" t="s">
        <v>117</v>
      </c>
      <c r="G15" s="4" t="s">
        <v>118</v>
      </c>
      <c r="H15" s="4" t="s">
        <v>119</v>
      </c>
      <c r="I15" s="4" t="s">
        <v>120</v>
      </c>
      <c r="J15" s="4"/>
      <c r="K15" s="2" t="s">
        <v>24</v>
      </c>
      <c r="L15" s="2" t="s">
        <v>121</v>
      </c>
      <c r="M15" s="4"/>
      <c r="N15" s="4"/>
      <c r="O15" s="4"/>
    </row>
    <row r="16" customFormat="false" ht="35.05" hidden="false" customHeight="false" outlineLevel="0" collapsed="false">
      <c r="A16" s="2" t="s">
        <v>122</v>
      </c>
      <c r="B16" s="2" t="s">
        <v>123</v>
      </c>
      <c r="C16" s="5" t="s">
        <v>124</v>
      </c>
      <c r="D16" s="4" t="s">
        <v>125</v>
      </c>
      <c r="E16" s="2" t="s">
        <v>108</v>
      </c>
      <c r="F16" s="4" t="s">
        <v>42</v>
      </c>
      <c r="G16" s="4" t="s">
        <v>126</v>
      </c>
      <c r="H16" s="4" t="s">
        <v>127</v>
      </c>
      <c r="I16" s="4" t="s">
        <v>128</v>
      </c>
      <c r="J16" s="4"/>
      <c r="K16" s="2" t="s">
        <v>24</v>
      </c>
      <c r="L16" s="2" t="s">
        <v>46</v>
      </c>
      <c r="M16" s="4"/>
      <c r="N16" s="4"/>
      <c r="O16" s="4"/>
    </row>
    <row r="17" customFormat="false" ht="23.85" hidden="false" customHeight="false" outlineLevel="0" collapsed="false">
      <c r="A17" s="2" t="s">
        <v>129</v>
      </c>
      <c r="B17" s="2" t="s">
        <v>130</v>
      </c>
      <c r="C17" s="5" t="s">
        <v>124</v>
      </c>
      <c r="D17" s="4" t="s">
        <v>131</v>
      </c>
      <c r="E17" s="2" t="s">
        <v>50</v>
      </c>
      <c r="F17" s="4" t="s">
        <v>94</v>
      </c>
      <c r="G17" s="4" t="s">
        <v>132</v>
      </c>
      <c r="H17" s="4" t="s">
        <v>133</v>
      </c>
      <c r="I17" s="4" t="s">
        <v>134</v>
      </c>
      <c r="J17" s="4"/>
      <c r="K17" s="2" t="s">
        <v>24</v>
      </c>
      <c r="L17" s="2" t="s">
        <v>25</v>
      </c>
      <c r="M17" s="4"/>
      <c r="N17" s="4"/>
      <c r="O17" s="4"/>
    </row>
    <row r="18" customFormat="false" ht="35.05" hidden="false" customHeight="false" outlineLevel="0" collapsed="false">
      <c r="A18" s="2" t="s">
        <v>135</v>
      </c>
      <c r="B18" s="2" t="s">
        <v>136</v>
      </c>
      <c r="C18" s="5" t="s">
        <v>124</v>
      </c>
      <c r="D18" s="4" t="s">
        <v>137</v>
      </c>
      <c r="E18" s="2" t="s">
        <v>138</v>
      </c>
      <c r="F18" s="4" t="s">
        <v>35</v>
      </c>
      <c r="G18" s="4" t="s">
        <v>139</v>
      </c>
      <c r="H18" s="4" t="s">
        <v>140</v>
      </c>
      <c r="I18" s="4" t="s">
        <v>141</v>
      </c>
      <c r="J18" s="4"/>
      <c r="K18" s="2" t="s">
        <v>24</v>
      </c>
      <c r="L18" s="2" t="s">
        <v>25</v>
      </c>
      <c r="M18" s="4"/>
      <c r="N18" s="4"/>
      <c r="O18" s="4"/>
    </row>
    <row r="19" customFormat="false" ht="23.85" hidden="false" customHeight="false" outlineLevel="0" collapsed="false">
      <c r="A19" s="2" t="s">
        <v>142</v>
      </c>
      <c r="B19" s="2" t="s">
        <v>143</v>
      </c>
      <c r="C19" s="5" t="s">
        <v>124</v>
      </c>
      <c r="D19" s="4" t="s">
        <v>144</v>
      </c>
      <c r="E19" s="2" t="s">
        <v>86</v>
      </c>
      <c r="F19" s="4" t="s">
        <v>145</v>
      </c>
      <c r="G19" s="4" t="s">
        <v>146</v>
      </c>
      <c r="H19" s="4" t="s">
        <v>147</v>
      </c>
      <c r="I19" s="4" t="s">
        <v>148</v>
      </c>
      <c r="J19" s="4"/>
      <c r="K19" s="2" t="s">
        <v>24</v>
      </c>
      <c r="L19" s="2" t="s">
        <v>25</v>
      </c>
      <c r="M19" s="4"/>
      <c r="N19" s="4"/>
      <c r="O19" s="4"/>
    </row>
    <row r="20" customFormat="false" ht="46.25" hidden="false" customHeight="false" outlineLevel="0" collapsed="false">
      <c r="A20" s="2" t="s">
        <v>149</v>
      </c>
      <c r="B20" s="2" t="s">
        <v>150</v>
      </c>
      <c r="C20" s="5" t="s">
        <v>124</v>
      </c>
      <c r="D20" s="4" t="s">
        <v>151</v>
      </c>
      <c r="E20" s="2" t="s">
        <v>72</v>
      </c>
      <c r="F20" s="4" t="s">
        <v>73</v>
      </c>
      <c r="G20" s="4" t="s">
        <v>152</v>
      </c>
      <c r="H20" s="4" t="s">
        <v>153</v>
      </c>
      <c r="I20" s="4" t="s">
        <v>154</v>
      </c>
      <c r="J20" s="4"/>
      <c r="K20" s="2" t="s">
        <v>24</v>
      </c>
      <c r="L20" s="2" t="s">
        <v>46</v>
      </c>
      <c r="M20" s="4"/>
      <c r="N20" s="4"/>
      <c r="O20" s="4"/>
    </row>
    <row r="21" customFormat="false" ht="35.05" hidden="false" customHeight="false" outlineLevel="0" collapsed="false">
      <c r="A21" s="2" t="s">
        <v>155</v>
      </c>
      <c r="B21" s="2" t="s">
        <v>156</v>
      </c>
      <c r="C21" s="5" t="s">
        <v>124</v>
      </c>
      <c r="D21" s="4" t="s">
        <v>157</v>
      </c>
      <c r="E21" s="2" t="s">
        <v>86</v>
      </c>
      <c r="F21" s="4" t="s">
        <v>158</v>
      </c>
      <c r="G21" s="4" t="s">
        <v>159</v>
      </c>
      <c r="H21" s="4" t="s">
        <v>160</v>
      </c>
      <c r="I21" s="4" t="s">
        <v>161</v>
      </c>
      <c r="J21" s="4"/>
      <c r="K21" s="2" t="s">
        <v>24</v>
      </c>
      <c r="L21" s="2" t="s">
        <v>46</v>
      </c>
      <c r="M21" s="4"/>
      <c r="N21" s="4"/>
      <c r="O21" s="4"/>
    </row>
    <row r="22" customFormat="false" ht="35.05" hidden="false" customHeight="false" outlineLevel="0" collapsed="false">
      <c r="A22" s="2" t="s">
        <v>162</v>
      </c>
      <c r="B22" s="2" t="s">
        <v>163</v>
      </c>
      <c r="C22" s="5" t="s">
        <v>124</v>
      </c>
      <c r="D22" s="4" t="s">
        <v>164</v>
      </c>
      <c r="E22" s="2" t="s">
        <v>50</v>
      </c>
      <c r="F22" s="4" t="s">
        <v>165</v>
      </c>
      <c r="G22" s="4" t="s">
        <v>166</v>
      </c>
      <c r="H22" s="4" t="s">
        <v>167</v>
      </c>
      <c r="I22" s="4" t="s">
        <v>168</v>
      </c>
      <c r="J22" s="4"/>
      <c r="K22" s="2" t="s">
        <v>24</v>
      </c>
      <c r="L22" s="2" t="s">
        <v>121</v>
      </c>
      <c r="M22" s="4"/>
      <c r="N22" s="4"/>
      <c r="O22" s="4"/>
    </row>
    <row r="23" customFormat="false" ht="23.85" hidden="false" customHeight="false" outlineLevel="0" collapsed="false">
      <c r="A23" s="2" t="s">
        <v>169</v>
      </c>
      <c r="B23" s="2" t="s">
        <v>170</v>
      </c>
      <c r="C23" s="6" t="s">
        <v>171</v>
      </c>
      <c r="D23" s="4" t="s">
        <v>172</v>
      </c>
      <c r="E23" s="2" t="s">
        <v>19</v>
      </c>
      <c r="F23" s="4" t="s">
        <v>35</v>
      </c>
      <c r="G23" s="4" t="s">
        <v>173</v>
      </c>
      <c r="H23" s="4" t="s">
        <v>174</v>
      </c>
      <c r="I23" s="4" t="s">
        <v>175</v>
      </c>
      <c r="J23" s="4"/>
      <c r="K23" s="2" t="s">
        <v>24</v>
      </c>
      <c r="L23" s="2" t="s">
        <v>46</v>
      </c>
      <c r="M23" s="4"/>
      <c r="N23" s="4"/>
      <c r="O23" s="4"/>
    </row>
    <row r="24" customFormat="false" ht="46.25" hidden="false" customHeight="false" outlineLevel="0" collapsed="false">
      <c r="A24" s="2" t="s">
        <v>176</v>
      </c>
      <c r="B24" s="2" t="s">
        <v>177</v>
      </c>
      <c r="C24" s="6" t="s">
        <v>171</v>
      </c>
      <c r="D24" s="4" t="s">
        <v>178</v>
      </c>
      <c r="E24" s="2" t="s">
        <v>179</v>
      </c>
      <c r="F24" s="4" t="s">
        <v>180</v>
      </c>
      <c r="G24" s="4" t="s">
        <v>181</v>
      </c>
      <c r="H24" s="4" t="s">
        <v>182</v>
      </c>
      <c r="I24" s="4" t="s">
        <v>183</v>
      </c>
      <c r="J24" s="4"/>
      <c r="K24" s="2" t="s">
        <v>24</v>
      </c>
      <c r="L24" s="2" t="s">
        <v>46</v>
      </c>
      <c r="M24" s="4"/>
      <c r="N24" s="4"/>
      <c r="O24" s="4"/>
    </row>
    <row r="25" customFormat="false" ht="35.05" hidden="false" customHeight="false" outlineLevel="0" collapsed="false">
      <c r="A25" s="2" t="s">
        <v>184</v>
      </c>
      <c r="B25" s="2" t="s">
        <v>185</v>
      </c>
      <c r="C25" s="6" t="s">
        <v>171</v>
      </c>
      <c r="D25" s="4" t="s">
        <v>186</v>
      </c>
      <c r="E25" s="2" t="s">
        <v>72</v>
      </c>
      <c r="F25" s="4" t="s">
        <v>65</v>
      </c>
      <c r="G25" s="4" t="s">
        <v>187</v>
      </c>
      <c r="H25" s="4" t="s">
        <v>67</v>
      </c>
      <c r="I25" s="4" t="s">
        <v>188</v>
      </c>
      <c r="J25" s="4"/>
      <c r="K25" s="2" t="s">
        <v>24</v>
      </c>
      <c r="L25" s="2" t="s">
        <v>46</v>
      </c>
      <c r="M25" s="4"/>
      <c r="N25" s="4"/>
      <c r="O25" s="4"/>
    </row>
    <row r="26" customFormat="false" ht="35.05" hidden="false" customHeight="false" outlineLevel="0" collapsed="false">
      <c r="A26" s="2" t="s">
        <v>189</v>
      </c>
      <c r="B26" s="2" t="s">
        <v>190</v>
      </c>
      <c r="C26" s="6" t="s">
        <v>171</v>
      </c>
      <c r="D26" s="4" t="s">
        <v>191</v>
      </c>
      <c r="E26" s="2" t="s">
        <v>72</v>
      </c>
      <c r="F26" s="4" t="s">
        <v>73</v>
      </c>
      <c r="G26" s="4" t="s">
        <v>192</v>
      </c>
      <c r="H26" s="4" t="s">
        <v>193</v>
      </c>
      <c r="I26" s="4" t="s">
        <v>194</v>
      </c>
      <c r="J26" s="4"/>
      <c r="K26" s="2" t="s">
        <v>24</v>
      </c>
      <c r="L26" s="2" t="s">
        <v>46</v>
      </c>
      <c r="M26" s="4"/>
      <c r="N26" s="4"/>
      <c r="O26" s="4"/>
    </row>
    <row r="27" customFormat="false" ht="23.85" hidden="false" customHeight="false" outlineLevel="0" collapsed="false">
      <c r="A27" s="2" t="s">
        <v>195</v>
      </c>
      <c r="B27" s="2" t="s">
        <v>196</v>
      </c>
      <c r="C27" s="6" t="s">
        <v>171</v>
      </c>
      <c r="D27" s="4" t="s">
        <v>197</v>
      </c>
      <c r="E27" s="2" t="s">
        <v>138</v>
      </c>
      <c r="F27" s="4" t="s">
        <v>35</v>
      </c>
      <c r="G27" s="4" t="s">
        <v>198</v>
      </c>
      <c r="H27" s="4" t="s">
        <v>199</v>
      </c>
      <c r="I27" s="4" t="s">
        <v>200</v>
      </c>
      <c r="J27" s="4"/>
      <c r="K27" s="2" t="s">
        <v>24</v>
      </c>
      <c r="L27" s="2" t="s">
        <v>46</v>
      </c>
      <c r="M27" s="4"/>
      <c r="N27" s="4"/>
      <c r="O27" s="4"/>
    </row>
    <row r="28" customFormat="false" ht="23.85" hidden="false" customHeight="false" outlineLevel="0" collapsed="false">
      <c r="A28" s="2" t="s">
        <v>201</v>
      </c>
      <c r="B28" s="2" t="s">
        <v>202</v>
      </c>
      <c r="C28" s="6" t="s">
        <v>171</v>
      </c>
      <c r="D28" s="4" t="s">
        <v>203</v>
      </c>
      <c r="E28" s="2" t="s">
        <v>86</v>
      </c>
      <c r="F28" s="4" t="s">
        <v>180</v>
      </c>
      <c r="G28" s="4" t="s">
        <v>204</v>
      </c>
      <c r="H28" s="4" t="s">
        <v>205</v>
      </c>
      <c r="I28" s="4" t="s">
        <v>206</v>
      </c>
      <c r="J28" s="4"/>
      <c r="K28" s="2" t="s">
        <v>24</v>
      </c>
      <c r="L28" s="2" t="s">
        <v>121</v>
      </c>
      <c r="M28" s="4"/>
      <c r="N28" s="4"/>
      <c r="O28" s="4"/>
    </row>
    <row r="29" customFormat="false" ht="35.05" hidden="false" customHeight="false" outlineLevel="0" collapsed="false">
      <c r="A29" s="2" t="s">
        <v>207</v>
      </c>
      <c r="B29" s="2" t="s">
        <v>208</v>
      </c>
      <c r="C29" s="6" t="s">
        <v>171</v>
      </c>
      <c r="D29" s="4" t="s">
        <v>209</v>
      </c>
      <c r="E29" s="2" t="s">
        <v>50</v>
      </c>
      <c r="F29" s="4" t="s">
        <v>210</v>
      </c>
      <c r="G29" s="4" t="s">
        <v>211</v>
      </c>
      <c r="H29" s="4" t="s">
        <v>212</v>
      </c>
      <c r="I29" s="4" t="s">
        <v>213</v>
      </c>
      <c r="J29" s="4"/>
      <c r="K29" s="2" t="s">
        <v>24</v>
      </c>
      <c r="L29" s="2" t="s">
        <v>121</v>
      </c>
      <c r="M29" s="4"/>
      <c r="N29" s="4"/>
      <c r="O29" s="4"/>
    </row>
    <row r="30" customFormat="false" ht="35.05" hidden="false" customHeight="false" outlineLevel="0" collapsed="false">
      <c r="A30" s="2" t="s">
        <v>214</v>
      </c>
      <c r="B30" s="2" t="s">
        <v>215</v>
      </c>
      <c r="C30" s="6" t="s">
        <v>171</v>
      </c>
      <c r="D30" s="4" t="s">
        <v>216</v>
      </c>
      <c r="E30" s="2" t="s">
        <v>217</v>
      </c>
      <c r="F30" s="4" t="s">
        <v>218</v>
      </c>
      <c r="G30" s="4" t="s">
        <v>219</v>
      </c>
      <c r="H30" s="4" t="s">
        <v>220</v>
      </c>
      <c r="I30" s="4" t="s">
        <v>221</v>
      </c>
      <c r="J30" s="4"/>
      <c r="K30" s="2" t="s">
        <v>24</v>
      </c>
      <c r="L30" s="2" t="s">
        <v>121</v>
      </c>
      <c r="M30" s="4"/>
      <c r="N30" s="4"/>
      <c r="O30" s="4"/>
    </row>
  </sheetData>
  <autoFilter ref="A1:O30"/>
  <dataValidations count="1">
    <dataValidation allowBlank="true" errorStyle="stop" operator="between" showDropDown="false" showErrorMessage="false" showInputMessage="false" sqref="K2:K30" type="list">
      <formula1>"Not Executed,Pass,Fail,Blocked,Skipped"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222</v>
      </c>
      <c r="B1" s="7"/>
      <c r="C1" s="7"/>
    </row>
    <row r="3" customFormat="false" ht="15" hidden="false" customHeight="false" outlineLevel="0" collapsed="false">
      <c r="A3" s="8" t="s">
        <v>2</v>
      </c>
      <c r="B3" s="9" t="s">
        <v>223</v>
      </c>
    </row>
    <row r="4" customFormat="false" ht="15" hidden="false" customHeight="false" outlineLevel="0" collapsed="false">
      <c r="A4" s="9" t="s">
        <v>17</v>
      </c>
      <c r="B4" s="9" t="n">
        <f aca="false">COUNTIF(Cart_Mgmt_Test_Cases!C2:C30,"Positive")</f>
        <v>14</v>
      </c>
    </row>
    <row r="5" customFormat="false" ht="15" hidden="false" customHeight="false" outlineLevel="0" collapsed="false">
      <c r="A5" s="9" t="s">
        <v>124</v>
      </c>
      <c r="B5" s="9" t="n">
        <f aca="false">COUNTIF(Cart_Mgmt_Test_Cases!C2:C30,"Negative")</f>
        <v>7</v>
      </c>
    </row>
    <row r="6" customFormat="false" ht="15" hidden="false" customHeight="false" outlineLevel="0" collapsed="false">
      <c r="A6" s="9" t="s">
        <v>171</v>
      </c>
      <c r="B6" s="9" t="n">
        <f aca="false">COUNTIF(Cart_Mgmt_Test_Cases!C2:C30,"Edge Case")</f>
        <v>8</v>
      </c>
    </row>
    <row r="7" customFormat="false" ht="15" hidden="false" customHeight="false" outlineLevel="0" collapsed="false">
      <c r="A7" s="9" t="s">
        <v>224</v>
      </c>
      <c r="B7" s="9" t="n">
        <f aca="false">COUNTA(Cart_Mgmt_Test_Cases!A2:A30)</f>
        <v>29</v>
      </c>
    </row>
    <row r="9" customFormat="false" ht="15" hidden="false" customHeight="false" outlineLevel="0" collapsed="false">
      <c r="A9" s="10" t="s">
        <v>225</v>
      </c>
    </row>
    <row r="10" customFormat="false" ht="15" hidden="false" customHeight="false" outlineLevel="0" collapsed="false">
      <c r="A10" s="8" t="s">
        <v>10</v>
      </c>
      <c r="B10" s="9" t="s">
        <v>223</v>
      </c>
    </row>
    <row r="11" customFormat="false" ht="15" hidden="false" customHeight="false" outlineLevel="0" collapsed="false">
      <c r="A11" s="9" t="s">
        <v>226</v>
      </c>
      <c r="B11" s="9" t="n">
        <f aca="false">COUNTIF(Cart_Mgmt_Test_Cases!K2:K30,"Pass")</f>
        <v>0</v>
      </c>
    </row>
    <row r="12" customFormat="false" ht="15" hidden="false" customHeight="false" outlineLevel="0" collapsed="false">
      <c r="A12" s="9" t="s">
        <v>227</v>
      </c>
      <c r="B12" s="9" t="n">
        <f aca="false">COUNTIF(Cart_Mgmt_Test_Cases!K2:K30,"Fail")</f>
        <v>0</v>
      </c>
    </row>
    <row r="13" customFormat="false" ht="15" hidden="false" customHeight="false" outlineLevel="0" collapsed="false">
      <c r="A13" s="9" t="s">
        <v>228</v>
      </c>
      <c r="B13" s="9" t="n">
        <f aca="false">COUNTIF(Cart_Mgmt_Test_Cases!K2:K30,"Blocked")</f>
        <v>0</v>
      </c>
    </row>
    <row r="14" customFormat="false" ht="15" hidden="false" customHeight="false" outlineLevel="0" collapsed="false">
      <c r="A14" s="9" t="s">
        <v>24</v>
      </c>
      <c r="B14" s="9" t="n">
        <f aca="false">COUNTIF(Cart_Mgmt_Test_Cases!K2:K30,"Not Executed")</f>
        <v>29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2026-07-18T14:42:22Z</dcterms:created>
  <dc:creator>openpyxl</dc:creator>
  <dc:description/>
  <dc:language>en-US</dc:language>
  <cp:lastModifiedBy/>
  <dcterms:modified xsi:type="dcterms:W3CDTF">2026-07-18T14:42:22Z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
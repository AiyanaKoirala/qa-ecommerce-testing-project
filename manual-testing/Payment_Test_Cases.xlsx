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_Test_Cases" sheetId="1" state="visible" r:id="rId3"/>
    <sheet name="Payment_Future_Scope" sheetId="2" state="visible" r:id="rId4"/>
    <sheet name="Summary" sheetId="3" state="visible" r:id="rId5"/>
  </sheets>
  <definedNames>
    <definedName function="false" hidden="true" localSheetId="1" name="_xlnm._FilterDatabase" vbProcedure="false">Payment_Future_Scope!$A$1:$E$23</definedName>
    <definedName function="false" hidden="true" localSheetId="0" name="_xlnm._FilterDatabase" vbProcedure="false">Payment_Test_Cases!$A$1:$O$8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<sst xmlns="http://schemas.openxmlformats.org/spreadsheetml/2006/main" count="223" uniqueCount="125">
  <si>
    <t xml:space="preserve">Test Case ID</t>
  </si>
  <si>
    <t xml:space="preserve">Scenario ID</t>
  </si>
  <si>
    <t xml:space="preserve">Category</t>
  </si>
  <si>
    <t xml:space="preserve">Test Case Title</t>
  </si>
  <si>
    <t xml:space="preserve">Related Req ID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</si>
  <si>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</si>
  <si>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</si>
  <si>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</si>
  <si>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</si>
  <si>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</si>
  <si>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</si>
  <si>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</si>
  <si>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Executed By</t>
  </si>
  <si>
    <t xml:space="preserve">Date</t>
  </si>
  <si>
    <t xml:space="preserve">Defect ID / Remarks</t>
  </si>
  <si>
    <t xml:space="preserve">TC-PAY-001</t>
  </si>
  <si>
    <t xml:space="preserve">TS-PAY-001</t>
  </si>
  <si>
    <t xml:space="preserve">Positive</t>
  </si>
  <si>
    <t xml:space="preserve">Mock Payment Information is displayed</t>
  </si>
  <si>
    <t xml:space="preserve">FR-28</t>
  </si>
  <si>
    <t xml:space="preserve">User is on the Order Overview page (Checkout Step Two)</t>
  </si>
  <si>
    <t xml:space="preserve">1. Complete Checkout Info with valid data
2. Proceed to Overview page
3. Locate 'Payment Information' section</t>
  </si>
  <si>
    <t xml:space="preserve">N/A</t>
  </si>
  <si>
    <t xml:space="preserve">'Payment Information' line is displayed with a mock value (e.g. 'SauceCard #31337'); no real card entry fields are shown</t>
  </si>
  <si>
    <t xml:space="preserve">Not Executed</t>
  </si>
  <si>
    <t xml:space="preserve">Low</t>
  </si>
  <si>
    <t xml:space="preserve">TC-PAY-002</t>
  </si>
  <si>
    <t xml:space="preserve">TS-PAY-002</t>
  </si>
  <si>
    <t xml:space="preserve">Mock payment value stays consistent across attempts</t>
  </si>
  <si>
    <t xml:space="preserve">User can complete checkout multiple times</t>
  </si>
  <si>
    <t xml:space="preserve">1. Complete checkout to Overview page, note Payment Information value
2. Cancel and repeat checkout with a new cart
3. Compare Payment Information value both times</t>
  </si>
  <si>
    <t xml:space="preserve">Two separate checkout attempts</t>
  </si>
  <si>
    <t xml:space="preserve">The mock Payment Information value is identical both times (static, not randomly generated)</t>
  </si>
  <si>
    <t xml:space="preserve">TC-PAY-003</t>
  </si>
  <si>
    <t xml:space="preserve">TS-PAY-003</t>
  </si>
  <si>
    <t xml:space="preserve">Order completes without a payment blocking step</t>
  </si>
  <si>
    <t xml:space="preserve">User is on the Overview page with a valid order</t>
  </si>
  <si>
    <t xml:space="preserve">1. Review Payment Information line
2. Click 'Finish' without any additional payment action</t>
  </si>
  <si>
    <t xml:space="preserve">Cart: 1+ items, valid checkout info entered</t>
  </si>
  <si>
    <t xml:space="preserve">Order completes successfully; no payment form, prompt, or blocking validation is required</t>
  </si>
  <si>
    <t xml:space="preserve">Medium</t>
  </si>
  <si>
    <t xml:space="preserve">TC-PAY-004</t>
  </si>
  <si>
    <t xml:space="preserve">TS-PAY-004</t>
  </si>
  <si>
    <t xml:space="preserve">Negative</t>
  </si>
  <si>
    <t xml:space="preserve">No placeholder/broken text in Payment Information</t>
  </si>
  <si>
    <t xml:space="preserve">User is on the Overview page</t>
  </si>
  <si>
    <t xml:space="preserve">1. Load Overview page
2. Inspect the exact text of the Payment Information line</t>
  </si>
  <si>
    <t xml:space="preserve">Displayed text is a real mock value; it does not show 'null', 'undefined', 'NaN', or a blank string</t>
  </si>
  <si>
    <t xml:space="preserve">TC-PAY-005</t>
  </si>
  <si>
    <t xml:space="preserve">TS-PAY-005</t>
  </si>
  <si>
    <t xml:space="preserve">No real payment form is rendered anywhere in checkout</t>
  </si>
  <si>
    <t xml:space="preserve">User proceeds through the full checkout flow</t>
  </si>
  <si>
    <t xml:space="preserve">1. Go through Checkout Info -&gt; Overview -&gt; Finish
2. At each step, check for any card number/CVV/expiry input fields</t>
  </si>
  <si>
    <t xml:space="preserve">Full checkout flow, 1 item in cart</t>
  </si>
  <si>
    <t xml:space="preserve">No real payment form fields appear at any step, consistent with this AUT having no payment gateway</t>
  </si>
  <si>
    <t xml:space="preserve">TC-PAY-006</t>
  </si>
  <si>
    <t xml:space="preserve">TS-PAY-006</t>
  </si>
  <si>
    <t xml:space="preserve">Edge Case</t>
  </si>
  <si>
    <t xml:space="preserve">Payment Information renders correctly at cart size extremes</t>
  </si>
  <si>
    <t xml:space="preserve">Two test runs: 1 item in cart, then all 6 items in cart</t>
  </si>
  <si>
    <t xml:space="preserve">1. Checkout with 1 item, note Payment Information section
2. Checkout with all 6 items, note Payment Information section</t>
  </si>
  <si>
    <t xml:space="preserve">Cart size 1 vs. Cart size 6</t>
  </si>
  <si>
    <t xml:space="preserve">Payment Information line renders identically and correctly regardless of cart size</t>
  </si>
  <si>
    <t xml:space="preserve">TC-PAY-007</t>
  </si>
  <si>
    <t xml:space="preserve">TS-PAY-007</t>
  </si>
  <si>
    <t xml:space="preserve">Refreshing Overview page does not alter Payment Information</t>
  </si>
  <si>
    <t xml:space="preserve">1. Note the current Payment Information value
2. Refresh the browser page (F5)
3. Compare the value after reload</t>
  </si>
  <si>
    <t xml:space="preserve">Payment Information value remains the same after refresh; no duplication or change in displayed text</t>
  </si>
  <si>
    <t xml:space="preserve">Scenario Statement</t>
  </si>
  <si>
    <t xml:space="preserve">TS-PAY-F01</t>
  </si>
  <si>
    <t xml:space="preserve">Verify that a user can complete payment when a valid credit card number, expiry date, and CVV are entered.</t>
  </si>
  <si>
    <t xml:space="preserve">High</t>
  </si>
  <si>
    <t xml:space="preserve">Not Executable - Future Scope</t>
  </si>
  <si>
    <t xml:space="preserve">TS-PAY-F02</t>
  </si>
  <si>
    <t xml:space="preserve">Verify that a user can complete payment when a valid debit card is used.</t>
  </si>
  <si>
    <t xml:space="preserve">TS-PAY-F03</t>
  </si>
  <si>
    <t xml:space="preserve">Verify that a user can select from multiple supported payment methods before confirming an order.</t>
  </si>
  <si>
    <t xml:space="preserve">TS-PAY-F04</t>
  </si>
  <si>
    <t xml:space="preserve">Verify that a user can view a payment confirmation/receipt immediately after a successful transaction.</t>
  </si>
  <si>
    <t xml:space="preserve">TS-PAY-F05</t>
  </si>
  <si>
    <t xml:space="preserve">Verify that a user can save a payment method for faster checkout on a future order.</t>
  </si>
  <si>
    <t xml:space="preserve">TS-PAY-F06</t>
  </si>
  <si>
    <t xml:space="preserve">Verify that the correct currency is charged based on the user's selected region/store locale.</t>
  </si>
  <si>
    <t xml:space="preserve">TS-PAY-F07</t>
  </si>
  <si>
    <t xml:space="preserve">Verify that payment is declined and a clear error is shown when an expired card is submitted.</t>
  </si>
  <si>
    <t xml:space="preserve">TS-PAY-F08</t>
  </si>
  <si>
    <t xml:space="preserve">Verify that payment is declined when an invalid/incorrect CVV is entered.</t>
  </si>
  <si>
    <t xml:space="preserve">TS-PAY-F09</t>
  </si>
  <si>
    <t xml:space="preserve">Verify that payment is declined when the card number fails checksum/format validation (Luhn algorithm).</t>
  </si>
  <si>
    <t xml:space="preserve">TS-PAY-F10</t>
  </si>
  <si>
    <t xml:space="preserve">Verify that payment is declined when the card has insufficient funds, with a clear non-technical error message.</t>
  </si>
  <si>
    <t xml:space="preserve">TS-PAY-F11</t>
  </si>
  <si>
    <t xml:space="preserve">Verify that a user cannot submit a payment form with the card number field left empty.</t>
  </si>
  <si>
    <t xml:space="preserve">TS-PAY-F12</t>
  </si>
  <si>
    <t xml:space="preserve">Verify that the system does not charge the user twice when a payment gateway timeout occurs mid-transaction.</t>
  </si>
  <si>
    <t xml:space="preserve">TS-PAY-F13</t>
  </si>
  <si>
    <t xml:space="preserve">Verify that the payment form rejects a card number containing letters or invalid characters.</t>
  </si>
  <si>
    <t xml:space="preserve">TS-PAY-F14</t>
  </si>
  <si>
    <t xml:space="preserve">Verify that the system does not store raw CVV values after transaction completion (PCI-DSS compliance).</t>
  </si>
  <si>
    <t xml:space="preserve">TS-PAY-F15</t>
  </si>
  <si>
    <t xml:space="preserve">Verify that a user cannot complete payment using a card flagged as stolen/blacklisted.</t>
  </si>
  <si>
    <t xml:space="preserve">TS-PAY-F16</t>
  </si>
  <si>
    <t xml:space="preserve">Verify that the system handles a payment attempt exactly at the card's expiry month/year boundary.</t>
  </si>
  <si>
    <t xml:space="preserve">TS-PAY-F17</t>
  </si>
  <si>
    <t xml:space="preserve">Verify that a network interruption during payment does not leave the order in an ambiguous charged-but-unconfirmed state.</t>
  </si>
  <si>
    <t xml:space="preserve">TS-PAY-F18</t>
  </si>
  <si>
    <t xml:space="preserve">Verify that the system rejects a payment amount of $0.00 or a negative value from an upstream pricing error.</t>
  </si>
  <si>
    <t xml:space="preserve">TS-PAY-F19</t>
  </si>
  <si>
    <t xml:space="preserve">Verify that submitting the payment form twice rapidly (double-click) does not result in two charges.</t>
  </si>
  <si>
    <t xml:space="preserve">TS-PAY-F20</t>
  </si>
  <si>
    <t xml:space="preserve">Verify that the system handles an extremely high order total without overflow or display truncation.</t>
  </si>
  <si>
    <t xml:space="preserve">TS-PAY-F21</t>
  </si>
  <si>
    <t xml:space="preserve">Verify that a payment with a non-Latin cardholder name (Unicode) is processed or rejected consistently.</t>
  </si>
  <si>
    <t xml:space="preserve">TS-PAY-F22</t>
  </si>
  <si>
    <t xml:space="preserve">Verify that the system times out gracefully with a clear message if the payment gateway does not respond in time.</t>
  </si>
  <si>
    <t xml:space="preserve">Payment Test Case Summary</t>
  </si>
  <si>
    <t xml:space="preserve">Category (Executable)</t>
  </si>
  <si>
    <t xml:space="preserve">Count</t>
  </si>
  <si>
    <t xml:space="preserve">Total Executable</t>
  </si>
  <si>
    <t xml:space="preserve">Execution Status</t>
  </si>
  <si>
    <t xml:space="preserve">Pass</t>
  </si>
  <si>
    <t xml:space="preserve">Fail</t>
  </si>
  <si>
    <t xml:space="preserve">Blocked</t>
  </si>
  <si>
    <t xml:space="preserve">Future-Scope Scenarios (reference only)</t>
  </si>
  <si>
    <t xml:space="preserve">Total Future-Scope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</si>
</sst>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42"/>
    <col collapsed="false" customWidth="true" hidden="false" outlineLevel="0" max="8" min="8" style="0" width="26"/>
    <col collapsed="false" customWidth="true" hidden="false" outlineLevel="0" max="9" min="9" style="0" width="4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5.05" hidden="false" customHeight="false" outlineLevel="0" collapsed="false">
      <c r="A2" s="2" t="s">
        <v>15</v>
      </c>
      <c r="B2" s="2" t="s">
        <v>16</v>
      </c>
      <c r="C2" s="3" t="s">
        <v>17</v>
      </c>
      <c r="D2" s="4" t="s">
        <v>18</v>
      </c>
      <c r="E2" s="2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/>
      <c r="K2" s="2" t="s">
        <v>24</v>
      </c>
      <c r="L2" s="2" t="s">
        <v>25</v>
      </c>
      <c r="M2" s="4"/>
      <c r="N2" s="4"/>
      <c r="O2" s="4"/>
    </row>
    <row r="3" customFormat="false" ht="46.25" hidden="false" customHeight="false" outlineLevel="0" collapsed="false">
      <c r="A3" s="2" t="s">
        <v>26</v>
      </c>
      <c r="B3" s="2" t="s">
        <v>27</v>
      </c>
      <c r="C3" s="3" t="s">
        <v>17</v>
      </c>
      <c r="D3" s="4" t="s">
        <v>28</v>
      </c>
      <c r="E3" s="2" t="s">
        <v>19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2" t="s">
        <v>24</v>
      </c>
      <c r="L3" s="2" t="s">
        <v>25</v>
      </c>
      <c r="M3" s="4"/>
      <c r="N3" s="4"/>
      <c r="O3" s="4"/>
    </row>
    <row r="4" customFormat="false" ht="35.05" hidden="false" customHeight="false" outlineLevel="0" collapsed="false">
      <c r="A4" s="2" t="s">
        <v>33</v>
      </c>
      <c r="B4" s="2" t="s">
        <v>34</v>
      </c>
      <c r="C4" s="3" t="s">
        <v>17</v>
      </c>
      <c r="D4" s="4" t="s">
        <v>35</v>
      </c>
      <c r="E4" s="2" t="s">
        <v>19</v>
      </c>
      <c r="F4" s="4" t="s">
        <v>36</v>
      </c>
      <c r="G4" s="4" t="s">
        <v>37</v>
      </c>
      <c r="H4" s="4" t="s">
        <v>38</v>
      </c>
      <c r="I4" s="4" t="s">
        <v>39</v>
      </c>
      <c r="J4" s="4"/>
      <c r="K4" s="2" t="s">
        <v>24</v>
      </c>
      <c r="L4" s="2" t="s">
        <v>40</v>
      </c>
      <c r="M4" s="4"/>
      <c r="N4" s="4"/>
      <c r="O4" s="4"/>
    </row>
    <row r="5" customFormat="false" ht="35.05" hidden="false" customHeight="false" outlineLevel="0" collapsed="false">
      <c r="A5" s="2" t="s">
        <v>41</v>
      </c>
      <c r="B5" s="2" t="s">
        <v>42</v>
      </c>
      <c r="C5" s="5" t="s">
        <v>43</v>
      </c>
      <c r="D5" s="4" t="s">
        <v>44</v>
      </c>
      <c r="E5" s="2" t="s">
        <v>19</v>
      </c>
      <c r="F5" s="4" t="s">
        <v>45</v>
      </c>
      <c r="G5" s="4" t="s">
        <v>46</v>
      </c>
      <c r="H5" s="4" t="s">
        <v>22</v>
      </c>
      <c r="I5" s="4" t="s">
        <v>47</v>
      </c>
      <c r="J5" s="4"/>
      <c r="K5" s="2" t="s">
        <v>24</v>
      </c>
      <c r="L5" s="2" t="s">
        <v>40</v>
      </c>
      <c r="M5" s="4"/>
      <c r="N5" s="4"/>
      <c r="O5" s="4"/>
    </row>
    <row r="6" customFormat="false" ht="35.05" hidden="false" customHeight="false" outlineLevel="0" collapsed="false">
      <c r="A6" s="2" t="s">
        <v>48</v>
      </c>
      <c r="B6" s="2" t="s">
        <v>49</v>
      </c>
      <c r="C6" s="5" t="s">
        <v>43</v>
      </c>
      <c r="D6" s="4" t="s">
        <v>50</v>
      </c>
      <c r="E6" s="2" t="s">
        <v>19</v>
      </c>
      <c r="F6" s="4" t="s">
        <v>51</v>
      </c>
      <c r="G6" s="4" t="s">
        <v>52</v>
      </c>
      <c r="H6" s="4" t="s">
        <v>53</v>
      </c>
      <c r="I6" s="4" t="s">
        <v>54</v>
      </c>
      <c r="J6" s="4"/>
      <c r="K6" s="2" t="s">
        <v>24</v>
      </c>
      <c r="L6" s="2" t="s">
        <v>25</v>
      </c>
      <c r="M6" s="4"/>
      <c r="N6" s="4"/>
      <c r="O6" s="4"/>
    </row>
    <row r="7" customFormat="false" ht="46.25" hidden="false" customHeight="false" outlineLevel="0" collapsed="false">
      <c r="A7" s="2" t="s">
        <v>55</v>
      </c>
      <c r="B7" s="2" t="s">
        <v>56</v>
      </c>
      <c r="C7" s="6" t="s">
        <v>57</v>
      </c>
      <c r="D7" s="4" t="s">
        <v>58</v>
      </c>
      <c r="E7" s="2" t="s">
        <v>19</v>
      </c>
      <c r="F7" s="4" t="s">
        <v>59</v>
      </c>
      <c r="G7" s="4" t="s">
        <v>60</v>
      </c>
      <c r="H7" s="4" t="s">
        <v>61</v>
      </c>
      <c r="I7" s="4" t="s">
        <v>62</v>
      </c>
      <c r="J7" s="4"/>
      <c r="K7" s="2" t="s">
        <v>24</v>
      </c>
      <c r="L7" s="2" t="s">
        <v>25</v>
      </c>
      <c r="M7" s="4"/>
      <c r="N7" s="4"/>
      <c r="O7" s="4"/>
    </row>
    <row r="8" customFormat="false" ht="35.05" hidden="false" customHeight="false" outlineLevel="0" collapsed="false">
      <c r="A8" s="2" t="s">
        <v>63</v>
      </c>
      <c r="B8" s="2" t="s">
        <v>64</v>
      </c>
      <c r="C8" s="6" t="s">
        <v>57</v>
      </c>
      <c r="D8" s="4" t="s">
        <v>65</v>
      </c>
      <c r="E8" s="2" t="s">
        <v>19</v>
      </c>
      <c r="F8" s="4" t="s">
        <v>45</v>
      </c>
      <c r="G8" s="4" t="s">
        <v>66</v>
      </c>
      <c r="H8" s="4" t="s">
        <v>22</v>
      </c>
      <c r="I8" s="4" t="s">
        <v>67</v>
      </c>
      <c r="J8" s="4"/>
      <c r="K8" s="2" t="s">
        <v>24</v>
      </c>
      <c r="L8" s="2" t="s">
        <v>25</v>
      </c>
      <c r="M8" s="4"/>
      <c r="N8" s="4"/>
      <c r="O8" s="4"/>
    </row>
  </sheetData>
  <autoFilter ref="A1:O8"/>
  <dataValidations count="1">
    <dataValidation allowBlank="true" errorStyle="stop" operator="between" showDropDown="false" showErrorMessage="false" showInputMessage="false" sqref="K2:K8" type="list">
      <formula1>"Not Executed,Pass,Fail,Blocked,Skipped"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0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24" hidden="false" customHeight="true" outlineLevel="0" collapsed="false">
      <c r="A1" s="1" t="s">
        <v>1</v>
      </c>
      <c r="B1" s="1" t="s">
        <v>2</v>
      </c>
      <c r="C1" s="1" t="s">
        <v>68</v>
      </c>
      <c r="D1" s="1" t="s">
        <v>11</v>
      </c>
      <c r="E1" s="1" t="s">
        <v>10</v>
      </c>
    </row>
    <row r="2" customFormat="false" ht="23.85" hidden="false" customHeight="false" outlineLevel="0" collapsed="false">
      <c r="A2" s="2" t="s">
        <v>69</v>
      </c>
      <c r="B2" s="3" t="s">
        <v>17</v>
      </c>
      <c r="C2" s="4" t="s">
        <v>70</v>
      </c>
      <c r="D2" s="2" t="s">
        <v>71</v>
      </c>
      <c r="E2" s="2" t="s">
        <v>72</v>
      </c>
    </row>
    <row r="3" customFormat="false" ht="23.85" hidden="false" customHeight="false" outlineLevel="0" collapsed="false">
      <c r="A3" s="2" t="s">
        <v>73</v>
      </c>
      <c r="B3" s="3" t="s">
        <v>17</v>
      </c>
      <c r="C3" s="4" t="s">
        <v>74</v>
      </c>
      <c r="D3" s="2" t="s">
        <v>71</v>
      </c>
      <c r="E3" s="2" t="s">
        <v>72</v>
      </c>
    </row>
    <row r="4" customFormat="false" ht="23.85" hidden="false" customHeight="false" outlineLevel="0" collapsed="false">
      <c r="A4" s="2" t="s">
        <v>75</v>
      </c>
      <c r="B4" s="3" t="s">
        <v>17</v>
      </c>
      <c r="C4" s="4" t="s">
        <v>76</v>
      </c>
      <c r="D4" s="2" t="s">
        <v>40</v>
      </c>
      <c r="E4" s="2" t="s">
        <v>72</v>
      </c>
    </row>
    <row r="5" customFormat="false" ht="23.85" hidden="false" customHeight="false" outlineLevel="0" collapsed="false">
      <c r="A5" s="2" t="s">
        <v>77</v>
      </c>
      <c r="B5" s="3" t="s">
        <v>17</v>
      </c>
      <c r="C5" s="4" t="s">
        <v>78</v>
      </c>
      <c r="D5" s="2" t="s">
        <v>71</v>
      </c>
      <c r="E5" s="2" t="s">
        <v>72</v>
      </c>
    </row>
    <row r="6" customFormat="false" ht="23.85" hidden="false" customHeight="false" outlineLevel="0" collapsed="false">
      <c r="A6" s="2" t="s">
        <v>79</v>
      </c>
      <c r="B6" s="3" t="s">
        <v>17</v>
      </c>
      <c r="C6" s="4" t="s">
        <v>80</v>
      </c>
      <c r="D6" s="2" t="s">
        <v>25</v>
      </c>
      <c r="E6" s="2" t="s">
        <v>72</v>
      </c>
    </row>
    <row r="7" customFormat="false" ht="23.85" hidden="false" customHeight="false" outlineLevel="0" collapsed="false">
      <c r="A7" s="2" t="s">
        <v>81</v>
      </c>
      <c r="B7" s="3" t="s">
        <v>17</v>
      </c>
      <c r="C7" s="4" t="s">
        <v>82</v>
      </c>
      <c r="D7" s="2" t="s">
        <v>40</v>
      </c>
      <c r="E7" s="2" t="s">
        <v>72</v>
      </c>
    </row>
    <row r="8" customFormat="false" ht="23.85" hidden="false" customHeight="false" outlineLevel="0" collapsed="false">
      <c r="A8" s="2" t="s">
        <v>83</v>
      </c>
      <c r="B8" s="5" t="s">
        <v>43</v>
      </c>
      <c r="C8" s="4" t="s">
        <v>84</v>
      </c>
      <c r="D8" s="2" t="s">
        <v>71</v>
      </c>
      <c r="E8" s="2" t="s">
        <v>72</v>
      </c>
    </row>
    <row r="9" customFormat="false" ht="23.85" hidden="false" customHeight="false" outlineLevel="0" collapsed="false">
      <c r="A9" s="2" t="s">
        <v>85</v>
      </c>
      <c r="B9" s="5" t="s">
        <v>43</v>
      </c>
      <c r="C9" s="4" t="s">
        <v>86</v>
      </c>
      <c r="D9" s="2" t="s">
        <v>71</v>
      </c>
      <c r="E9" s="2" t="s">
        <v>72</v>
      </c>
    </row>
    <row r="10" customFormat="false" ht="23.85" hidden="false" customHeight="false" outlineLevel="0" collapsed="false">
      <c r="A10" s="2" t="s">
        <v>87</v>
      </c>
      <c r="B10" s="5" t="s">
        <v>43</v>
      </c>
      <c r="C10" s="4" t="s">
        <v>88</v>
      </c>
      <c r="D10" s="2" t="s">
        <v>71</v>
      </c>
      <c r="E10" s="2" t="s">
        <v>72</v>
      </c>
    </row>
    <row r="11" customFormat="false" ht="23.85" hidden="false" customHeight="false" outlineLevel="0" collapsed="false">
      <c r="A11" s="2" t="s">
        <v>89</v>
      </c>
      <c r="B11" s="5" t="s">
        <v>43</v>
      </c>
      <c r="C11" s="4" t="s">
        <v>90</v>
      </c>
      <c r="D11" s="2" t="s">
        <v>71</v>
      </c>
      <c r="E11" s="2" t="s">
        <v>72</v>
      </c>
    </row>
    <row r="12" customFormat="false" ht="23.85" hidden="false" customHeight="false" outlineLevel="0" collapsed="false">
      <c r="A12" s="2" t="s">
        <v>91</v>
      </c>
      <c r="B12" s="5" t="s">
        <v>43</v>
      </c>
      <c r="C12" s="4" t="s">
        <v>92</v>
      </c>
      <c r="D12" s="2" t="s">
        <v>71</v>
      </c>
      <c r="E12" s="2" t="s">
        <v>72</v>
      </c>
    </row>
    <row r="13" customFormat="false" ht="23.85" hidden="false" customHeight="false" outlineLevel="0" collapsed="false">
      <c r="A13" s="2" t="s">
        <v>93</v>
      </c>
      <c r="B13" s="5" t="s">
        <v>43</v>
      </c>
      <c r="C13" s="4" t="s">
        <v>94</v>
      </c>
      <c r="D13" s="2" t="s">
        <v>71</v>
      </c>
      <c r="E13" s="2" t="s">
        <v>72</v>
      </c>
    </row>
    <row r="14" customFormat="false" ht="23.85" hidden="false" customHeight="false" outlineLevel="0" collapsed="false">
      <c r="A14" s="2" t="s">
        <v>95</v>
      </c>
      <c r="B14" s="5" t="s">
        <v>43</v>
      </c>
      <c r="C14" s="4" t="s">
        <v>96</v>
      </c>
      <c r="D14" s="2" t="s">
        <v>40</v>
      </c>
      <c r="E14" s="2" t="s">
        <v>72</v>
      </c>
    </row>
    <row r="15" customFormat="false" ht="23.85" hidden="false" customHeight="false" outlineLevel="0" collapsed="false">
      <c r="A15" s="2" t="s">
        <v>97</v>
      </c>
      <c r="B15" s="5" t="s">
        <v>43</v>
      </c>
      <c r="C15" s="4" t="s">
        <v>98</v>
      </c>
      <c r="D15" s="2" t="s">
        <v>71</v>
      </c>
      <c r="E15" s="2" t="s">
        <v>72</v>
      </c>
    </row>
    <row r="16" customFormat="false" ht="23.85" hidden="false" customHeight="false" outlineLevel="0" collapsed="false">
      <c r="A16" s="2" t="s">
        <v>99</v>
      </c>
      <c r="B16" s="5" t="s">
        <v>43</v>
      </c>
      <c r="C16" s="4" t="s">
        <v>100</v>
      </c>
      <c r="D16" s="2" t="s">
        <v>40</v>
      </c>
      <c r="E16" s="2" t="s">
        <v>72</v>
      </c>
    </row>
    <row r="17" customFormat="false" ht="23.85" hidden="false" customHeight="false" outlineLevel="0" collapsed="false">
      <c r="A17" s="2" t="s">
        <v>101</v>
      </c>
      <c r="B17" s="6" t="s">
        <v>57</v>
      </c>
      <c r="C17" s="4" t="s">
        <v>102</v>
      </c>
      <c r="D17" s="2" t="s">
        <v>40</v>
      </c>
      <c r="E17" s="2" t="s">
        <v>72</v>
      </c>
    </row>
    <row r="18" customFormat="false" ht="23.85" hidden="false" customHeight="false" outlineLevel="0" collapsed="false">
      <c r="A18" s="2" t="s">
        <v>103</v>
      </c>
      <c r="B18" s="6" t="s">
        <v>57</v>
      </c>
      <c r="C18" s="4" t="s">
        <v>104</v>
      </c>
      <c r="D18" s="2" t="s">
        <v>71</v>
      </c>
      <c r="E18" s="2" t="s">
        <v>72</v>
      </c>
    </row>
    <row r="19" customFormat="false" ht="23.85" hidden="false" customHeight="false" outlineLevel="0" collapsed="false">
      <c r="A19" s="2" t="s">
        <v>105</v>
      </c>
      <c r="B19" s="6" t="s">
        <v>57</v>
      </c>
      <c r="C19" s="4" t="s">
        <v>106</v>
      </c>
      <c r="D19" s="2" t="s">
        <v>40</v>
      </c>
      <c r="E19" s="2" t="s">
        <v>72</v>
      </c>
    </row>
    <row r="20" customFormat="false" ht="23.85" hidden="false" customHeight="false" outlineLevel="0" collapsed="false">
      <c r="A20" s="2" t="s">
        <v>107</v>
      </c>
      <c r="B20" s="6" t="s">
        <v>57</v>
      </c>
      <c r="C20" s="4" t="s">
        <v>108</v>
      </c>
      <c r="D20" s="2" t="s">
        <v>71</v>
      </c>
      <c r="E20" s="2" t="s">
        <v>72</v>
      </c>
    </row>
    <row r="21" customFormat="false" ht="23.85" hidden="false" customHeight="false" outlineLevel="0" collapsed="false">
      <c r="A21" s="2" t="s">
        <v>109</v>
      </c>
      <c r="B21" s="6" t="s">
        <v>57</v>
      </c>
      <c r="C21" s="4" t="s">
        <v>110</v>
      </c>
      <c r="D21" s="2" t="s">
        <v>25</v>
      </c>
      <c r="E21" s="2" t="s">
        <v>72</v>
      </c>
    </row>
    <row r="22" customFormat="false" ht="23.85" hidden="false" customHeight="false" outlineLevel="0" collapsed="false">
      <c r="A22" s="2" t="s">
        <v>111</v>
      </c>
      <c r="B22" s="6" t="s">
        <v>57</v>
      </c>
      <c r="C22" s="4" t="s">
        <v>112</v>
      </c>
      <c r="D22" s="2" t="s">
        <v>25</v>
      </c>
      <c r="E22" s="2" t="s">
        <v>72</v>
      </c>
    </row>
    <row r="23" customFormat="false" ht="23.85" hidden="false" customHeight="false" outlineLevel="0" collapsed="false">
      <c r="A23" s="2" t="s">
        <v>113</v>
      </c>
      <c r="B23" s="6" t="s">
        <v>57</v>
      </c>
      <c r="C23" s="4" t="s">
        <v>114</v>
      </c>
      <c r="D23" s="2" t="s">
        <v>40</v>
      </c>
      <c r="E23" s="2" t="s">
        <v>72</v>
      </c>
    </row>
  </sheetData>
  <autoFilter ref="A1: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115</v>
      </c>
      <c r="B1" s="7"/>
      <c r="C1" s="7"/>
    </row>
    <row r="3" customFormat="false" ht="15" hidden="false" customHeight="false" outlineLevel="0" collapsed="false">
      <c r="A3" s="8" t="s">
        <v>116</v>
      </c>
      <c r="B3" s="9" t="s">
        <v>117</v>
      </c>
    </row>
    <row r="4" customFormat="false" ht="15" hidden="false" customHeight="false" outlineLevel="0" collapsed="false">
      <c r="A4" s="9" t="s">
        <v>17</v>
      </c>
      <c r="B4" s="9" t="n">
        <f aca="false">COUNTIF(Payment_Test_Cases!C2:C8,"Positive")</f>
        <v>3</v>
      </c>
    </row>
    <row r="5" customFormat="false" ht="15" hidden="false" customHeight="false" outlineLevel="0" collapsed="false">
      <c r="A5" s="9" t="s">
        <v>43</v>
      </c>
      <c r="B5" s="9" t="n">
        <f aca="false">COUNTIF(Payment_Test_Cases!C2:C8,"Negative")</f>
        <v>2</v>
      </c>
    </row>
    <row r="6" customFormat="false" ht="15" hidden="false" customHeight="false" outlineLevel="0" collapsed="false">
      <c r="A6" s="9" t="s">
        <v>57</v>
      </c>
      <c r="B6" s="9" t="n">
        <f aca="false">COUNTIF(Payment_Test_Cases!C2:C8,"Edge Case")</f>
        <v>2</v>
      </c>
    </row>
    <row r="7" customFormat="false" ht="15" hidden="false" customHeight="false" outlineLevel="0" collapsed="false">
      <c r="A7" s="9" t="s">
        <v>118</v>
      </c>
      <c r="B7" s="9" t="n">
        <f aca="false">COUNTA(Payment_Test_Cases!A2:A8)</f>
        <v>7</v>
      </c>
    </row>
    <row r="9" customFormat="false" ht="15" hidden="false" customHeight="false" outlineLevel="0" collapsed="false">
      <c r="A9" s="10" t="s">
        <v>119</v>
      </c>
    </row>
    <row r="10" customFormat="false" ht="15" hidden="false" customHeight="false" outlineLevel="0" collapsed="false">
      <c r="A10" s="8" t="s">
        <v>10</v>
      </c>
      <c r="B10" s="9" t="s">
        <v>117</v>
      </c>
    </row>
    <row r="11" customFormat="false" ht="15" hidden="false" customHeight="false" outlineLevel="0" collapsed="false">
      <c r="A11" s="9" t="s">
        <v>120</v>
      </c>
      <c r="B11" s="9" t="n">
        <f aca="false">COUNTIF(Payment_Test_Cases!K2:K8,"Pass")</f>
        <v>0</v>
      </c>
    </row>
    <row r="12" customFormat="false" ht="15" hidden="false" customHeight="false" outlineLevel="0" collapsed="false">
      <c r="A12" s="9" t="s">
        <v>121</v>
      </c>
      <c r="B12" s="9" t="n">
        <f aca="false">COUNTIF(Payment_Test_Cases!K2:K8,"Fail")</f>
        <v>0</v>
      </c>
    </row>
    <row r="13" customFormat="false" ht="15" hidden="false" customHeight="false" outlineLevel="0" collapsed="false">
      <c r="A13" s="9" t="s">
        <v>122</v>
      </c>
      <c r="B13" s="9" t="n">
        <f aca="false">COUNTIF(Payment_Test_Cases!K2:K8,"Blocked")</f>
        <v>0</v>
      </c>
    </row>
    <row r="14" customFormat="false" ht="15" hidden="false" customHeight="false" outlineLevel="0" collapsed="false">
      <c r="A14" s="9" t="s">
        <v>24</v>
      </c>
      <c r="B14" s="9" t="n">
        <f aca="false">COUNTIF(Payment_Test_Cases!K2:K8,"Not Executed")</f>
        <v>7</v>
      </c>
    </row>
    <row r="16" customFormat="false" ht="15" hidden="false" customHeight="false" outlineLevel="0" collapsed="false">
      <c r="A16" s="10" t="s">
        <v>123</v>
      </c>
    </row>
    <row r="17" customFormat="false" ht="15" hidden="false" customHeight="false" outlineLevel="0" collapsed="false">
      <c r="A17" s="9" t="s">
        <v>124</v>
      </c>
      <c r="B17" s="9" t="n">
        <f aca="false">COUNTA(Payment_Future_Scope!A2:A23)</f>
        <v>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2026-07-18T15:20:23Z</dcterms:created>
  <dc:creator>openpyxl</dc:creator>
  <dc:description/>
  <dc:language>en-US</dc:language>
  <cp:lastModifiedBy/>
  <dcterms:modified xsi:type="dcterms:W3CDTF">2026-07-18T15:20:23Z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